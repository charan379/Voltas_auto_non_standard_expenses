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 thinkpad\Documents\UiPath\Voltas_auto_non_standard_expenses\"/>
    </mc:Choice>
  </mc:AlternateContent>
  <bookViews>
    <workbookView xWindow="0" yWindow="0" windowWidth="20490" windowHeight="7755"/>
  </bookViews>
  <sheets>
    <sheet name="Nellore mapping" sheetId="1" r:id="rId1"/>
  </sheets>
  <externalReferences>
    <externalReference r:id="rId2"/>
  </externalReferences>
  <definedNames>
    <definedName name="_xlnm._FilterDatabase" localSheetId="0" hidden="1">'Nellore mapping'!$A$1:$K$83</definedName>
  </definedNames>
  <calcPr calcId="152511"/>
</workbook>
</file>

<file path=xl/calcChain.xml><?xml version="1.0" encoding="utf-8"?>
<calcChain xmlns="http://schemas.openxmlformats.org/spreadsheetml/2006/main">
  <c r="I3" i="1" l="1"/>
  <c r="I6" i="1"/>
  <c r="I8" i="1"/>
  <c r="I10" i="1"/>
  <c r="I11" i="1"/>
  <c r="I12" i="1"/>
  <c r="I13" i="1"/>
  <c r="I14" i="1"/>
  <c r="I15" i="1"/>
  <c r="I17" i="1"/>
  <c r="I18" i="1"/>
  <c r="I19" i="1"/>
  <c r="I20" i="1"/>
  <c r="I21" i="1"/>
  <c r="I22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8" i="1"/>
  <c r="I69" i="1"/>
  <c r="I70" i="1"/>
  <c r="I71" i="1"/>
  <c r="I72" i="1"/>
  <c r="I76" i="1"/>
  <c r="I77" i="1"/>
  <c r="I78" i="1"/>
  <c r="I79" i="1"/>
  <c r="I80" i="1"/>
  <c r="I81" i="1"/>
  <c r="I82" i="1"/>
  <c r="I83" i="1"/>
  <c r="I2" i="1"/>
  <c r="J3" i="1"/>
  <c r="J8" i="1"/>
  <c r="J10" i="1"/>
  <c r="J11" i="1"/>
  <c r="J12" i="1"/>
  <c r="J13" i="1"/>
  <c r="J14" i="1"/>
  <c r="J15" i="1"/>
  <c r="J18" i="1"/>
  <c r="J19" i="1"/>
  <c r="J20" i="1"/>
  <c r="J21" i="1"/>
  <c r="J22" i="1"/>
  <c r="J34" i="1"/>
  <c r="J35" i="1"/>
  <c r="J36" i="1"/>
  <c r="J37" i="1"/>
  <c r="J39" i="1"/>
  <c r="J42" i="1"/>
  <c r="J43" i="1"/>
  <c r="J49" i="1"/>
  <c r="J51" i="1"/>
  <c r="J52" i="1"/>
  <c r="J54" i="1"/>
  <c r="J55" i="1"/>
  <c r="J57" i="1"/>
  <c r="J58" i="1"/>
  <c r="J59" i="1"/>
  <c r="J61" i="1"/>
  <c r="J62" i="1"/>
  <c r="J63" i="1"/>
  <c r="J71" i="1"/>
  <c r="J72" i="1"/>
  <c r="J76" i="1"/>
  <c r="J80" i="1"/>
  <c r="J81" i="1"/>
  <c r="J82" i="1"/>
  <c r="J83" i="1"/>
  <c r="J2" i="1"/>
</calcChain>
</file>

<file path=xl/sharedStrings.xml><?xml version="1.0" encoding="utf-8"?>
<sst xmlns="http://schemas.openxmlformats.org/spreadsheetml/2006/main" count="585" uniqueCount="126">
  <si>
    <t>Franchisee Name</t>
  </si>
  <si>
    <t>Franchisee Code</t>
  </si>
  <si>
    <t>Pincode</t>
  </si>
  <si>
    <t>District</t>
  </si>
  <si>
    <t>City</t>
  </si>
  <si>
    <t>Area</t>
  </si>
  <si>
    <t>Area Type</t>
  </si>
  <si>
    <t>Brand Identifier</t>
  </si>
  <si>
    <t>AL MADINA ENTERPRISES</t>
  </si>
  <si>
    <t>Nellore</t>
  </si>
  <si>
    <t>Buchireddypalem</t>
  </si>
  <si>
    <t>Kalayakagollu</t>
  </si>
  <si>
    <t>Local</t>
  </si>
  <si>
    <t>Voltas</t>
  </si>
  <si>
    <t>TIRUMALAA ELECTRONICS</t>
  </si>
  <si>
    <t xml:space="preserve"> Voltas</t>
  </si>
  <si>
    <t>SRI SRINIVASA COOL SERVICES</t>
  </si>
  <si>
    <t>Chejerla</t>
  </si>
  <si>
    <t>Ulavapalli</t>
  </si>
  <si>
    <t>Upcountry</t>
  </si>
  <si>
    <t>Voltbek</t>
  </si>
  <si>
    <t>Chillakur</t>
  </si>
  <si>
    <t>Ballavolu</t>
  </si>
  <si>
    <t>Chittamur</t>
  </si>
  <si>
    <t>Yellore</t>
  </si>
  <si>
    <t>Dagadarthi</t>
  </si>
  <si>
    <t>Bodagudipadu</t>
  </si>
  <si>
    <t>Dakkili</t>
  </si>
  <si>
    <t>Velikallu</t>
  </si>
  <si>
    <t>Damavaram</t>
  </si>
  <si>
    <t>Zuvvaladinne</t>
  </si>
  <si>
    <t>Gudur</t>
  </si>
  <si>
    <t>Ayyavaripalem</t>
  </si>
  <si>
    <t>Kavali</t>
  </si>
  <si>
    <t>Kalugummapet</t>
  </si>
  <si>
    <t>Brundhavanam Colony</t>
  </si>
  <si>
    <t>Vengatrao Nagar</t>
  </si>
  <si>
    <t>Kodavalur</t>
  </si>
  <si>
    <t>Racherlapadu</t>
  </si>
  <si>
    <t>Muthukur</t>
  </si>
  <si>
    <t>Damayapalem</t>
  </si>
  <si>
    <t>Mypadu</t>
  </si>
  <si>
    <t>Ramudupalem</t>
  </si>
  <si>
    <t>Naidupet</t>
  </si>
  <si>
    <t>Rajahalpuram</t>
  </si>
  <si>
    <t>Nandipadu</t>
  </si>
  <si>
    <t>Bijjampalli</t>
  </si>
  <si>
    <t>A C Nagar</t>
  </si>
  <si>
    <t>Allur</t>
  </si>
  <si>
    <t>Andhra Kesari Nagar</t>
  </si>
  <si>
    <t>Nadouri Nagar</t>
  </si>
  <si>
    <t>Buchireddy Palem</t>
  </si>
  <si>
    <t>Badavolu Post</t>
  </si>
  <si>
    <t>Malviya Nagar</t>
  </si>
  <si>
    <t>Aremanipadu</t>
  </si>
  <si>
    <t>Srihari Kota</t>
  </si>
  <si>
    <t>Akkampet P O</t>
  </si>
  <si>
    <t>Kotapolur</t>
  </si>
  <si>
    <t>Sri Hari Kota Range</t>
  </si>
  <si>
    <t>Yella Siri</t>
  </si>
  <si>
    <t>Balaya Palli</t>
  </si>
  <si>
    <t>Jayampu</t>
  </si>
  <si>
    <t>Patha Kota</t>
  </si>
  <si>
    <t>Inamudu Po</t>
  </si>
  <si>
    <t>Bitragunta</t>
  </si>
  <si>
    <t>Anemadugu</t>
  </si>
  <si>
    <t>Chakalakonda</t>
  </si>
  <si>
    <t>Duthalur</t>
  </si>
  <si>
    <t>Jaladanki</t>
  </si>
  <si>
    <t>Kaligiri</t>
  </si>
  <si>
    <t>Udayagiri</t>
  </si>
  <si>
    <t>Ramapuram</t>
  </si>
  <si>
    <t>Gumperla Padu</t>
  </si>
  <si>
    <t>Gandi Palem</t>
  </si>
  <si>
    <t>Anantasagaram</t>
  </si>
  <si>
    <t>Revuru</t>
  </si>
  <si>
    <t>Annuma Samudrmpeta</t>
  </si>
  <si>
    <t>North Rajupalem</t>
  </si>
  <si>
    <t>Karatampadu</t>
  </si>
  <si>
    <t>Virur</t>
  </si>
  <si>
    <t>Thotapalli Gudur</t>
  </si>
  <si>
    <t>Marri Padu</t>
  </si>
  <si>
    <t>Allur (Nlr)</t>
  </si>
  <si>
    <t>Gandavaram</t>
  </si>
  <si>
    <t>Atmakur (Nlr)</t>
  </si>
  <si>
    <t>Nidigunta Palem</t>
  </si>
  <si>
    <t>Iskapalli</t>
  </si>
  <si>
    <t>Kolagatla</t>
  </si>
  <si>
    <t>Kalu Voya</t>
  </si>
  <si>
    <t>Teachers Colony</t>
  </si>
  <si>
    <t>Brahma Devam</t>
  </si>
  <si>
    <t>Yellaya Palem</t>
  </si>
  <si>
    <t>Karuru Po</t>
  </si>
  <si>
    <t>Vogilli</t>
  </si>
  <si>
    <t>Bangaraopet</t>
  </si>
  <si>
    <t>Anupallipadu Village</t>
  </si>
  <si>
    <t>Gulimcherla</t>
  </si>
  <si>
    <t>Rapur</t>
  </si>
  <si>
    <t>Kali Chedu</t>
  </si>
  <si>
    <t>Kota (Nlr)</t>
  </si>
  <si>
    <t>Gunda Volu</t>
  </si>
  <si>
    <t>Menakur</t>
  </si>
  <si>
    <t>Kalluru</t>
  </si>
  <si>
    <t>Krishnapur</t>
  </si>
  <si>
    <t>Sangam</t>
  </si>
  <si>
    <t>Vasili</t>
  </si>
  <si>
    <t>Seetharamapuram</t>
  </si>
  <si>
    <t>Siddanakonduru</t>
  </si>
  <si>
    <t>Turupur</t>
  </si>
  <si>
    <t>Ss Project</t>
  </si>
  <si>
    <t>Manchalapalli</t>
  </si>
  <si>
    <t>Survepalli</t>
  </si>
  <si>
    <t>Vakadu</t>
  </si>
  <si>
    <t>Balireddypalem</t>
  </si>
  <si>
    <t>Venkatachalam</t>
  </si>
  <si>
    <t>Tikkavarapadu</t>
  </si>
  <si>
    <t>Vidavalur</t>
  </si>
  <si>
    <t>Alaganipadu</t>
  </si>
  <si>
    <t>Technician</t>
  </si>
  <si>
    <t>Nizam</t>
  </si>
  <si>
    <t>Fayaz</t>
  </si>
  <si>
    <t>Nabhi</t>
  </si>
  <si>
    <t>Jeelan</t>
  </si>
  <si>
    <t>others</t>
  </si>
  <si>
    <t>Tada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</si>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</sst>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ada%20data\TADA%20Charg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ges"/>
      <sheetName val="Raw Data"/>
    </sheetNames>
    <sheetDataSet>
      <sheetData sheetId="0">
        <row r="1">
          <cell r="A1" t="str">
            <v>Pincode</v>
          </cell>
          <cell r="B1" t="str">
            <v>Status</v>
          </cell>
          <cell r="C1" t="str">
            <v>District</v>
          </cell>
          <cell r="D1" t="str">
            <v>City</v>
          </cell>
          <cell r="E1" t="str">
            <v>Area</v>
          </cell>
          <cell r="F1" t="str">
            <v>Area Branch</v>
          </cell>
          <cell r="G1" t="str">
            <v>Area Type</v>
          </cell>
          <cell r="H1" t="str">
            <v>Branch</v>
          </cell>
          <cell r="I1" t="str">
            <v>Brand Identifier</v>
          </cell>
          <cell r="J1" t="str">
            <v>Distance</v>
          </cell>
          <cell r="K1" t="str">
            <v>KMS ( up + Down )</v>
          </cell>
          <cell r="L1" t="str">
            <v>Charges Can be Claimed</v>
          </cell>
        </row>
        <row r="2">
          <cell r="A2">
            <v>524305</v>
          </cell>
          <cell r="B2" t="str">
            <v>Active</v>
          </cell>
          <cell r="C2" t="str">
            <v>Nellore</v>
          </cell>
          <cell r="D2" t="str">
            <v>Buchireddypalem</v>
          </cell>
          <cell r="E2" t="str">
            <v>Kalayakagollu</v>
          </cell>
          <cell r="F2" t="str">
            <v>UPBG Andhra</v>
          </cell>
          <cell r="G2" t="str">
            <v>Local</v>
          </cell>
          <cell r="H2" t="str">
            <v>UPBG Andhra</v>
          </cell>
          <cell r="I2" t="str">
            <v>Voltas</v>
          </cell>
          <cell r="J2">
            <v>40</v>
          </cell>
          <cell r="K2">
            <v>80</v>
          </cell>
          <cell r="L2">
            <v>150</v>
          </cell>
        </row>
        <row r="3">
          <cell r="A3">
            <v>524341</v>
          </cell>
          <cell r="B3" t="str">
            <v>Active</v>
          </cell>
          <cell r="C3" t="str">
            <v>Nellore</v>
          </cell>
          <cell r="D3" t="str">
            <v>Chejerla</v>
          </cell>
          <cell r="E3" t="str">
            <v>Ulavapalli</v>
          </cell>
          <cell r="F3" t="str">
            <v>UPBG Andhra</v>
          </cell>
          <cell r="G3" t="str">
            <v>Upcountry</v>
          </cell>
          <cell r="H3" t="str">
            <v>UPBG Andhra</v>
          </cell>
          <cell r="I3" t="str">
            <v>Voltbek</v>
          </cell>
          <cell r="J3">
            <v>95</v>
          </cell>
          <cell r="K3">
            <v>190</v>
          </cell>
          <cell r="L3">
            <v>350</v>
          </cell>
        </row>
        <row r="4">
          <cell r="A4">
            <v>524240</v>
          </cell>
          <cell r="B4" t="str">
            <v>Active</v>
          </cell>
          <cell r="C4" t="str">
            <v>Nellore</v>
          </cell>
          <cell r="D4" t="str">
            <v>Dagadarthi</v>
          </cell>
          <cell r="E4" t="str">
            <v>Bodagudipadu</v>
          </cell>
          <cell r="F4" t="str">
            <v>UPBG Andhra</v>
          </cell>
          <cell r="G4" t="str">
            <v>Upcountry</v>
          </cell>
          <cell r="H4" t="str">
            <v>UPBG Andhra</v>
          </cell>
          <cell r="I4" t="str">
            <v>Voltas</v>
          </cell>
          <cell r="J4">
            <v>95</v>
          </cell>
          <cell r="K4">
            <v>190</v>
          </cell>
          <cell r="L4">
            <v>350</v>
          </cell>
        </row>
        <row r="5">
          <cell r="A5">
            <v>524152</v>
          </cell>
          <cell r="B5" t="str">
            <v>Active</v>
          </cell>
          <cell r="C5" t="str">
            <v>Nellore</v>
          </cell>
          <cell r="D5" t="str">
            <v>Damavaram</v>
          </cell>
          <cell r="E5" t="str">
            <v>Zuvvaladinne</v>
          </cell>
          <cell r="F5" t="str">
            <v>UPBG Andhra</v>
          </cell>
          <cell r="G5" t="str">
            <v>Upcountry</v>
          </cell>
          <cell r="H5" t="str">
            <v>UPBG Andhra</v>
          </cell>
          <cell r="I5" t="str">
            <v>Voltas</v>
          </cell>
          <cell r="J5">
            <v>95</v>
          </cell>
          <cell r="K5">
            <v>190</v>
          </cell>
          <cell r="L5">
            <v>350</v>
          </cell>
        </row>
        <row r="6">
          <cell r="A6">
            <v>524001</v>
          </cell>
          <cell r="B6" t="str">
            <v>Active</v>
          </cell>
          <cell r="C6" t="str">
            <v>Nellore</v>
          </cell>
          <cell r="D6" t="str">
            <v>Nellore</v>
          </cell>
          <cell r="E6" t="str">
            <v>Nellore Ho</v>
          </cell>
          <cell r="F6" t="str">
            <v>UPBG Andhra</v>
          </cell>
          <cell r="G6" t="str">
            <v>Local</v>
          </cell>
          <cell r="H6" t="str">
            <v>UPBG Andhra</v>
          </cell>
          <cell r="I6" t="str">
            <v>Voltas</v>
          </cell>
          <cell r="J6">
            <v>15</v>
          </cell>
          <cell r="K6">
            <v>30</v>
          </cell>
          <cell r="L6">
            <v>150</v>
          </cell>
        </row>
        <row r="7">
          <cell r="A7">
            <v>524201</v>
          </cell>
          <cell r="B7" t="str">
            <v>Active</v>
          </cell>
          <cell r="C7" t="str">
            <v>Nellore</v>
          </cell>
          <cell r="D7" t="str">
            <v>Kavali</v>
          </cell>
          <cell r="E7" t="str">
            <v>Brundhavanam Colony</v>
          </cell>
          <cell r="F7" t="str">
            <v>UPBG Andhra</v>
          </cell>
          <cell r="G7" t="str">
            <v>Upcountry</v>
          </cell>
          <cell r="H7" t="str">
            <v>UPBG Andhra</v>
          </cell>
          <cell r="I7" t="str">
            <v>Voltas</v>
          </cell>
          <cell r="J7">
            <v>90</v>
          </cell>
          <cell r="K7">
            <v>180</v>
          </cell>
          <cell r="L7">
            <v>350</v>
          </cell>
        </row>
        <row r="8">
          <cell r="A8">
            <v>524202</v>
          </cell>
          <cell r="B8" t="str">
            <v>Active</v>
          </cell>
          <cell r="C8" t="str">
            <v>Nellore</v>
          </cell>
          <cell r="D8" t="str">
            <v>Kavali</v>
          </cell>
          <cell r="E8" t="str">
            <v>Vengatrao Nagar</v>
          </cell>
          <cell r="F8" t="str">
            <v>UPBG Andhra</v>
          </cell>
          <cell r="G8" t="str">
            <v>Upcountry</v>
          </cell>
          <cell r="H8" t="str">
            <v>UPBG Andhra</v>
          </cell>
          <cell r="I8" t="str">
            <v>Voltas</v>
          </cell>
          <cell r="J8">
            <v>90</v>
          </cell>
          <cell r="K8">
            <v>180</v>
          </cell>
          <cell r="L8">
            <v>350</v>
          </cell>
        </row>
        <row r="9">
          <cell r="A9">
            <v>524316</v>
          </cell>
          <cell r="B9" t="str">
            <v>Active</v>
          </cell>
          <cell r="C9" t="str">
            <v>Nellore</v>
          </cell>
          <cell r="D9" t="str">
            <v>Kodavalur</v>
          </cell>
          <cell r="E9" t="str">
            <v>Racherlapadu</v>
          </cell>
          <cell r="F9" t="str">
            <v>UPBG Andhra</v>
          </cell>
          <cell r="G9" t="str">
            <v>Local</v>
          </cell>
          <cell r="H9" t="str">
            <v>UPBG Andhra</v>
          </cell>
          <cell r="I9" t="str">
            <v>Voltas</v>
          </cell>
          <cell r="J9">
            <v>30</v>
          </cell>
          <cell r="K9">
            <v>60</v>
          </cell>
          <cell r="L9">
            <v>150</v>
          </cell>
        </row>
        <row r="10">
          <cell r="A10">
            <v>524344</v>
          </cell>
          <cell r="B10" t="str">
            <v>Active</v>
          </cell>
          <cell r="C10" t="str">
            <v>Nellore</v>
          </cell>
          <cell r="D10" t="str">
            <v>Muthukur</v>
          </cell>
          <cell r="E10" t="str">
            <v>Damayapalem</v>
          </cell>
          <cell r="F10" t="str">
            <v>UPBG Andhra</v>
          </cell>
          <cell r="G10" t="str">
            <v>Upcountry</v>
          </cell>
          <cell r="H10" t="str">
            <v>UPBG Andhra</v>
          </cell>
          <cell r="I10" t="str">
            <v>Voltas</v>
          </cell>
          <cell r="J10">
            <v>90</v>
          </cell>
          <cell r="K10">
            <v>180</v>
          </cell>
          <cell r="L10">
            <v>350</v>
          </cell>
        </row>
        <row r="11">
          <cell r="A11">
            <v>524313</v>
          </cell>
          <cell r="B11" t="str">
            <v>Active</v>
          </cell>
          <cell r="C11" t="str">
            <v>Nellore</v>
          </cell>
          <cell r="D11" t="str">
            <v>Mypadu</v>
          </cell>
          <cell r="E11" t="str">
            <v>Ramudupalem</v>
          </cell>
          <cell r="F11" t="str">
            <v>UPBG Andhra</v>
          </cell>
          <cell r="G11" t="str">
            <v>Upcountry</v>
          </cell>
          <cell r="H11" t="str">
            <v>UPBG Andhra</v>
          </cell>
          <cell r="I11" t="str">
            <v>Voltas</v>
          </cell>
          <cell r="J11">
            <v>52.5</v>
          </cell>
          <cell r="K11">
            <v>105</v>
          </cell>
          <cell r="L11">
            <v>250</v>
          </cell>
        </row>
        <row r="12">
          <cell r="A12">
            <v>524230</v>
          </cell>
          <cell r="B12" t="str">
            <v>Active</v>
          </cell>
          <cell r="C12" t="str">
            <v>Nellore</v>
          </cell>
          <cell r="D12" t="str">
            <v>Nandipadu</v>
          </cell>
          <cell r="E12" t="str">
            <v>Bijjampalli</v>
          </cell>
          <cell r="F12" t="str">
            <v>UPBG Andhra</v>
          </cell>
          <cell r="G12" t="str">
            <v>Upcountry</v>
          </cell>
          <cell r="H12" t="str">
            <v>UPBG Andhra</v>
          </cell>
          <cell r="I12" t="str">
            <v>Voltas</v>
          </cell>
          <cell r="J12">
            <v>90</v>
          </cell>
          <cell r="K12">
            <v>180</v>
          </cell>
          <cell r="L12">
            <v>350</v>
          </cell>
        </row>
        <row r="13">
          <cell r="A13">
            <v>524002</v>
          </cell>
          <cell r="B13" t="str">
            <v>Active</v>
          </cell>
          <cell r="C13" t="str">
            <v>Nellore</v>
          </cell>
          <cell r="D13" t="str">
            <v>Nellore</v>
          </cell>
          <cell r="E13" t="str">
            <v>A C Nagar</v>
          </cell>
          <cell r="F13" t="str">
            <v>UPBG Andhra</v>
          </cell>
          <cell r="G13" t="str">
            <v>Local</v>
          </cell>
          <cell r="H13" t="str">
            <v>UPBG Andhra</v>
          </cell>
          <cell r="I13" t="str">
            <v>Voltas</v>
          </cell>
          <cell r="J13">
            <v>15</v>
          </cell>
          <cell r="K13">
            <v>30</v>
          </cell>
          <cell r="L13">
            <v>150</v>
          </cell>
        </row>
        <row r="14">
          <cell r="A14">
            <v>524003</v>
          </cell>
          <cell r="B14" t="str">
            <v>Active</v>
          </cell>
          <cell r="C14" t="str">
            <v>Nellore</v>
          </cell>
          <cell r="D14" t="str">
            <v>Nellore</v>
          </cell>
          <cell r="E14" t="str">
            <v>Allur</v>
          </cell>
          <cell r="F14" t="str">
            <v>UPBG Andhra</v>
          </cell>
          <cell r="G14" t="str">
            <v>Local</v>
          </cell>
          <cell r="H14" t="str">
            <v>UPBG Andhra</v>
          </cell>
          <cell r="I14" t="str">
            <v>Voltas</v>
          </cell>
          <cell r="J14">
            <v>15</v>
          </cell>
          <cell r="K14">
            <v>30</v>
          </cell>
          <cell r="L14">
            <v>150</v>
          </cell>
        </row>
        <row r="15">
          <cell r="A15">
            <v>524004</v>
          </cell>
          <cell r="B15" t="str">
            <v>Active</v>
          </cell>
          <cell r="C15" t="str">
            <v>Nellore</v>
          </cell>
          <cell r="D15" t="str">
            <v>Nellore</v>
          </cell>
          <cell r="E15" t="str">
            <v>Andhra Kesari Nagar</v>
          </cell>
          <cell r="F15" t="str">
            <v>UPBG Andhra</v>
          </cell>
          <cell r="G15" t="str">
            <v>Local</v>
          </cell>
          <cell r="H15" t="str">
            <v>UPBG Andhra</v>
          </cell>
          <cell r="I15" t="str">
            <v>Voltas</v>
          </cell>
          <cell r="J15">
            <v>15</v>
          </cell>
          <cell r="K15">
            <v>30</v>
          </cell>
          <cell r="L15">
            <v>150</v>
          </cell>
        </row>
        <row r="16">
          <cell r="A16">
            <v>524005</v>
          </cell>
          <cell r="B16" t="str">
            <v>Active</v>
          </cell>
          <cell r="C16" t="str">
            <v>Nellore</v>
          </cell>
          <cell r="D16" t="str">
            <v>Nellore</v>
          </cell>
          <cell r="E16" t="str">
            <v>Nadouri Nagar</v>
          </cell>
          <cell r="F16" t="str">
            <v>UPBG Andhra</v>
          </cell>
          <cell r="G16" t="str">
            <v>Local</v>
          </cell>
          <cell r="H16" t="str">
            <v>UPBG Andhra</v>
          </cell>
          <cell r="I16" t="str">
            <v>Voltas</v>
          </cell>
          <cell r="J16">
            <v>15</v>
          </cell>
          <cell r="K16">
            <v>30</v>
          </cell>
          <cell r="L16">
            <v>150</v>
          </cell>
        </row>
        <row r="17">
          <cell r="A17">
            <v>524006</v>
          </cell>
          <cell r="B17" t="str">
            <v>Active</v>
          </cell>
          <cell r="C17" t="str">
            <v>Nellore</v>
          </cell>
          <cell r="D17" t="str">
            <v>Nellore</v>
          </cell>
          <cell r="E17" t="str">
            <v>Buchireddy Palem</v>
          </cell>
          <cell r="F17" t="str">
            <v>UPBG Andhra</v>
          </cell>
          <cell r="G17" t="str">
            <v>Local</v>
          </cell>
          <cell r="H17" t="str">
            <v>UPBG Andhra</v>
          </cell>
          <cell r="I17" t="str">
            <v>Voltas</v>
          </cell>
          <cell r="J17">
            <v>27.5</v>
          </cell>
          <cell r="K17">
            <v>55</v>
          </cell>
          <cell r="L17">
            <v>150</v>
          </cell>
        </row>
        <row r="18">
          <cell r="A18">
            <v>524137</v>
          </cell>
          <cell r="B18" t="str">
            <v>Active</v>
          </cell>
          <cell r="C18" t="str">
            <v>Nellore</v>
          </cell>
          <cell r="D18" t="str">
            <v>Nellore</v>
          </cell>
          <cell r="E18" t="str">
            <v>Inamudu Po</v>
          </cell>
          <cell r="F18" t="str">
            <v>UPBG Andhra</v>
          </cell>
          <cell r="G18" t="str">
            <v>Local</v>
          </cell>
          <cell r="H18" t="str">
            <v>UPBG Andhra</v>
          </cell>
          <cell r="I18" t="str">
            <v>Voltas</v>
          </cell>
          <cell r="J18">
            <v>30</v>
          </cell>
          <cell r="K18">
            <v>60</v>
          </cell>
          <cell r="L18">
            <v>150</v>
          </cell>
        </row>
        <row r="19">
          <cell r="A19">
            <v>524142</v>
          </cell>
          <cell r="B19" t="str">
            <v>Active</v>
          </cell>
          <cell r="C19" t="str">
            <v>Nellore</v>
          </cell>
          <cell r="D19" t="str">
            <v>Nellore</v>
          </cell>
          <cell r="E19" t="str">
            <v>Bitragunta</v>
          </cell>
          <cell r="F19" t="str">
            <v>UPBG Andhra</v>
          </cell>
          <cell r="G19" t="str">
            <v>Upcountry</v>
          </cell>
          <cell r="H19" t="str">
            <v>UPBG Andhra</v>
          </cell>
          <cell r="I19" t="str">
            <v>Voltas</v>
          </cell>
          <cell r="J19">
            <v>76.5</v>
          </cell>
          <cell r="K19">
            <v>153</v>
          </cell>
          <cell r="L19">
            <v>350</v>
          </cell>
        </row>
        <row r="20">
          <cell r="A20">
            <v>524203</v>
          </cell>
          <cell r="B20" t="str">
            <v>Active</v>
          </cell>
          <cell r="C20" t="str">
            <v>Nellore</v>
          </cell>
          <cell r="D20" t="str">
            <v>Nellore</v>
          </cell>
          <cell r="E20" t="str">
            <v>Anemadugu</v>
          </cell>
          <cell r="F20" t="str">
            <v>UPBG Andhra</v>
          </cell>
          <cell r="G20" t="str">
            <v>Upcountry</v>
          </cell>
          <cell r="H20" t="str">
            <v>UPBG Andhra</v>
          </cell>
          <cell r="I20" t="str">
            <v>Voltas</v>
          </cell>
          <cell r="J20">
            <v>85</v>
          </cell>
          <cell r="K20">
            <v>170</v>
          </cell>
          <cell r="L20">
            <v>350</v>
          </cell>
        </row>
        <row r="21">
          <cell r="A21">
            <v>524221</v>
          </cell>
          <cell r="B21" t="str">
            <v>Active</v>
          </cell>
          <cell r="C21" t="str">
            <v>Nellore</v>
          </cell>
          <cell r="D21" t="str">
            <v>Nellore</v>
          </cell>
          <cell r="E21" t="str">
            <v>Chakalakonda</v>
          </cell>
          <cell r="F21" t="str">
            <v>UPBG Andhra</v>
          </cell>
          <cell r="G21" t="str">
            <v>Upcountry</v>
          </cell>
          <cell r="H21" t="str">
            <v>UPBG Andhra</v>
          </cell>
          <cell r="I21" t="str">
            <v>Voltas</v>
          </cell>
          <cell r="J21">
            <v>115</v>
          </cell>
          <cell r="K21">
            <v>230</v>
          </cell>
          <cell r="L21">
            <v>350</v>
          </cell>
        </row>
        <row r="22">
          <cell r="A22">
            <v>524222</v>
          </cell>
          <cell r="B22" t="str">
            <v>Active</v>
          </cell>
          <cell r="C22" t="str">
            <v>Nellore</v>
          </cell>
          <cell r="D22" t="str">
            <v>Nellore</v>
          </cell>
          <cell r="E22" t="str">
            <v>Duthalur</v>
          </cell>
          <cell r="F22" t="str">
            <v>UPBG Andhra</v>
          </cell>
          <cell r="G22" t="str">
            <v>Upcountry</v>
          </cell>
          <cell r="H22" t="str">
            <v>UPBG Andhra</v>
          </cell>
          <cell r="I22" t="str">
            <v>Voltas</v>
          </cell>
          <cell r="J22">
            <v>110</v>
          </cell>
          <cell r="K22">
            <v>220</v>
          </cell>
          <cell r="L22">
            <v>350</v>
          </cell>
        </row>
        <row r="23">
          <cell r="A23">
            <v>524223</v>
          </cell>
          <cell r="B23" t="str">
            <v>Active</v>
          </cell>
          <cell r="C23" t="str">
            <v>Nellore</v>
          </cell>
          <cell r="D23" t="str">
            <v>Nellore</v>
          </cell>
          <cell r="E23" t="str">
            <v>Jaladanki</v>
          </cell>
          <cell r="F23" t="str">
            <v>UPBG Andhra</v>
          </cell>
          <cell r="G23" t="str">
            <v>Upcountry</v>
          </cell>
          <cell r="H23" t="str">
            <v>UPBG Andhra</v>
          </cell>
          <cell r="I23" t="str">
            <v>Voltas</v>
          </cell>
          <cell r="J23">
            <v>80</v>
          </cell>
          <cell r="K23">
            <v>160</v>
          </cell>
          <cell r="L23">
            <v>350</v>
          </cell>
        </row>
        <row r="24">
          <cell r="A24">
            <v>524224</v>
          </cell>
          <cell r="B24" t="str">
            <v>Active</v>
          </cell>
          <cell r="C24" t="str">
            <v>Nellore</v>
          </cell>
          <cell r="D24" t="str">
            <v>Nellore</v>
          </cell>
          <cell r="E24" t="str">
            <v>Kaligiri</v>
          </cell>
          <cell r="F24" t="str">
            <v>UPBG Andhra</v>
          </cell>
          <cell r="G24" t="str">
            <v>Upcountry</v>
          </cell>
          <cell r="H24" t="str">
            <v>UPBG Andhra</v>
          </cell>
          <cell r="I24" t="str">
            <v>Voltas</v>
          </cell>
          <cell r="J24">
            <v>95</v>
          </cell>
          <cell r="K24">
            <v>190</v>
          </cell>
          <cell r="L24">
            <v>350</v>
          </cell>
        </row>
        <row r="25">
          <cell r="A25">
            <v>524226</v>
          </cell>
          <cell r="B25" t="str">
            <v>Active</v>
          </cell>
          <cell r="C25" t="str">
            <v>Nellore</v>
          </cell>
          <cell r="D25" t="str">
            <v>Nellore</v>
          </cell>
          <cell r="E25" t="str">
            <v>Udayagiri</v>
          </cell>
          <cell r="F25" t="str">
            <v>UPBG Andhra</v>
          </cell>
          <cell r="G25" t="str">
            <v>Upcountry</v>
          </cell>
          <cell r="H25" t="str">
            <v>UPBG Andhra</v>
          </cell>
          <cell r="I25" t="str">
            <v xml:space="preserve"> Voltas</v>
          </cell>
          <cell r="J25">
            <v>140</v>
          </cell>
          <cell r="K25">
            <v>280</v>
          </cell>
          <cell r="L25">
            <v>350</v>
          </cell>
        </row>
        <row r="26">
          <cell r="A26">
            <v>524227</v>
          </cell>
          <cell r="B26" t="str">
            <v>Active</v>
          </cell>
          <cell r="C26" t="str">
            <v>Nellore</v>
          </cell>
          <cell r="D26" t="str">
            <v>Nellore</v>
          </cell>
          <cell r="E26" t="str">
            <v>Ramapuram</v>
          </cell>
          <cell r="F26" t="str">
            <v>UPBG Andhra</v>
          </cell>
          <cell r="G26" t="str">
            <v>Upcountry</v>
          </cell>
          <cell r="H26" t="str">
            <v>UPBG Andhra</v>
          </cell>
          <cell r="I26" t="str">
            <v>Voltas</v>
          </cell>
          <cell r="J26">
            <v>145</v>
          </cell>
          <cell r="K26">
            <v>290</v>
          </cell>
          <cell r="L26">
            <v>350</v>
          </cell>
        </row>
        <row r="27">
          <cell r="A27">
            <v>524228</v>
          </cell>
          <cell r="B27" t="str">
            <v>Active</v>
          </cell>
          <cell r="C27" t="str">
            <v>Nellore</v>
          </cell>
          <cell r="D27" t="str">
            <v>Nellore</v>
          </cell>
          <cell r="E27" t="str">
            <v>Buchireddy Palem</v>
          </cell>
          <cell r="F27" t="str">
            <v>UPBG Andhra</v>
          </cell>
          <cell r="G27" t="str">
            <v>Upcountry</v>
          </cell>
          <cell r="H27" t="str">
            <v>UPBG Andhra</v>
          </cell>
          <cell r="I27" t="str">
            <v>Voltas</v>
          </cell>
          <cell r="J27">
            <v>100</v>
          </cell>
          <cell r="K27">
            <v>200</v>
          </cell>
          <cell r="L27">
            <v>350</v>
          </cell>
        </row>
        <row r="28">
          <cell r="A28">
            <v>524234</v>
          </cell>
          <cell r="B28" t="str">
            <v>Active</v>
          </cell>
          <cell r="C28" t="str">
            <v>Nellore</v>
          </cell>
          <cell r="D28" t="str">
            <v>Nellore</v>
          </cell>
          <cell r="E28" t="str">
            <v>Gumperla Padu</v>
          </cell>
          <cell r="F28" t="str">
            <v>UPBG Andhra</v>
          </cell>
          <cell r="G28" t="str">
            <v>Upcountry</v>
          </cell>
          <cell r="H28" t="str">
            <v>UPBG Andhra</v>
          </cell>
          <cell r="I28" t="str">
            <v>Voltas</v>
          </cell>
          <cell r="J28">
            <v>100</v>
          </cell>
          <cell r="K28">
            <v>200</v>
          </cell>
          <cell r="L28">
            <v>350</v>
          </cell>
        </row>
        <row r="29">
          <cell r="A29">
            <v>524236</v>
          </cell>
          <cell r="B29" t="str">
            <v>Active</v>
          </cell>
          <cell r="C29" t="str">
            <v>Nellore</v>
          </cell>
          <cell r="D29" t="str">
            <v>Nellore</v>
          </cell>
          <cell r="E29" t="str">
            <v>Gandi Palem</v>
          </cell>
          <cell r="F29" t="str">
            <v>UPBG Andhra</v>
          </cell>
          <cell r="G29" t="str">
            <v>Upcountry</v>
          </cell>
          <cell r="H29" t="str">
            <v>UPBG Andhra</v>
          </cell>
          <cell r="I29" t="str">
            <v>Voltas</v>
          </cell>
          <cell r="J29">
            <v>145</v>
          </cell>
          <cell r="K29">
            <v>290</v>
          </cell>
          <cell r="L29">
            <v>350</v>
          </cell>
        </row>
        <row r="30">
          <cell r="A30">
            <v>524302</v>
          </cell>
          <cell r="B30" t="str">
            <v>Active</v>
          </cell>
          <cell r="C30" t="str">
            <v>Nellore</v>
          </cell>
          <cell r="D30" t="str">
            <v>Nellore</v>
          </cell>
          <cell r="E30" t="str">
            <v>Anantasagaram</v>
          </cell>
          <cell r="F30" t="str">
            <v>UPBG Andhra</v>
          </cell>
          <cell r="G30" t="str">
            <v>Upcountry</v>
          </cell>
          <cell r="H30" t="str">
            <v>UPBG Andhra</v>
          </cell>
          <cell r="I30" t="str">
            <v>Voltas</v>
          </cell>
          <cell r="J30">
            <v>107.5</v>
          </cell>
          <cell r="K30">
            <v>215</v>
          </cell>
          <cell r="L30">
            <v>350</v>
          </cell>
        </row>
        <row r="31">
          <cell r="A31">
            <v>524303</v>
          </cell>
          <cell r="B31" t="str">
            <v>Active</v>
          </cell>
          <cell r="C31" t="str">
            <v>Nellore</v>
          </cell>
          <cell r="D31" t="str">
            <v>Nellore</v>
          </cell>
          <cell r="E31" t="str">
            <v>Revuru</v>
          </cell>
          <cell r="F31" t="str">
            <v>UPBG Andhra</v>
          </cell>
          <cell r="G31" t="str">
            <v>Upcountry</v>
          </cell>
          <cell r="H31" t="str">
            <v>UPBG Andhra</v>
          </cell>
          <cell r="I31" t="str">
            <v>Voltas</v>
          </cell>
          <cell r="J31">
            <v>95</v>
          </cell>
          <cell r="K31">
            <v>190</v>
          </cell>
          <cell r="L31">
            <v>350</v>
          </cell>
        </row>
        <row r="32">
          <cell r="A32">
            <v>524304</v>
          </cell>
          <cell r="B32" t="str">
            <v>Active</v>
          </cell>
          <cell r="C32" t="str">
            <v>Nellore</v>
          </cell>
          <cell r="D32" t="str">
            <v>Nellore</v>
          </cell>
          <cell r="E32" t="str">
            <v>Annuma Samudrmpeta</v>
          </cell>
          <cell r="F32" t="str">
            <v>UPBG Andhra</v>
          </cell>
          <cell r="G32" t="str">
            <v>Upcountry</v>
          </cell>
          <cell r="H32" t="str">
            <v>UPBG Andhra</v>
          </cell>
          <cell r="I32" t="str">
            <v>Voltas</v>
          </cell>
          <cell r="J32">
            <v>80</v>
          </cell>
          <cell r="K32">
            <v>160</v>
          </cell>
          <cell r="L32">
            <v>350</v>
          </cell>
        </row>
        <row r="33">
          <cell r="A33">
            <v>524306</v>
          </cell>
          <cell r="B33" t="str">
            <v>Active</v>
          </cell>
          <cell r="C33" t="str">
            <v>Nellore</v>
          </cell>
          <cell r="D33" t="str">
            <v>Nellore</v>
          </cell>
          <cell r="E33" t="str">
            <v>North Rajupalem</v>
          </cell>
          <cell r="F33" t="str">
            <v>UPBG Andhra</v>
          </cell>
          <cell r="G33" t="str">
            <v>Local</v>
          </cell>
          <cell r="H33" t="str">
            <v>UPBG Andhra</v>
          </cell>
          <cell r="I33" t="str">
            <v>Voltas</v>
          </cell>
          <cell r="J33">
            <v>27.5</v>
          </cell>
          <cell r="K33">
            <v>55</v>
          </cell>
          <cell r="L33">
            <v>150</v>
          </cell>
        </row>
        <row r="34">
          <cell r="A34">
            <v>524307</v>
          </cell>
          <cell r="B34" t="str">
            <v>Active</v>
          </cell>
          <cell r="C34" t="str">
            <v>Nellore</v>
          </cell>
          <cell r="D34" t="str">
            <v>Nellore</v>
          </cell>
          <cell r="E34" t="str">
            <v>Karatampadu</v>
          </cell>
          <cell r="F34" t="str">
            <v>UPBG Andhra</v>
          </cell>
          <cell r="G34" t="str">
            <v>Upcountry</v>
          </cell>
          <cell r="H34" t="str">
            <v>UPBG Andhra</v>
          </cell>
          <cell r="I34" t="str">
            <v>Voltas</v>
          </cell>
          <cell r="J34">
            <v>100</v>
          </cell>
          <cell r="K34">
            <v>200</v>
          </cell>
          <cell r="L34">
            <v>350</v>
          </cell>
        </row>
        <row r="35">
          <cell r="A35">
            <v>524309</v>
          </cell>
          <cell r="B35" t="str">
            <v>Active</v>
          </cell>
          <cell r="C35" t="str">
            <v>Nellore</v>
          </cell>
          <cell r="D35" t="str">
            <v>Nellore</v>
          </cell>
          <cell r="E35" t="str">
            <v>Virur</v>
          </cell>
          <cell r="F35" t="str">
            <v>UPBG Andhra</v>
          </cell>
          <cell r="G35" t="str">
            <v>Upcountry</v>
          </cell>
          <cell r="H35" t="str">
            <v>UPBG Andhra</v>
          </cell>
          <cell r="I35" t="str">
            <v>Voltas</v>
          </cell>
          <cell r="J35">
            <v>51.5</v>
          </cell>
          <cell r="K35">
            <v>103</v>
          </cell>
          <cell r="L35">
            <v>250</v>
          </cell>
        </row>
        <row r="36">
          <cell r="A36">
            <v>524311</v>
          </cell>
          <cell r="B36" t="str">
            <v>Active</v>
          </cell>
          <cell r="C36" t="str">
            <v>Nellore</v>
          </cell>
          <cell r="D36" t="str">
            <v>Nellore</v>
          </cell>
          <cell r="E36" t="str">
            <v>Thotapalli Gudur</v>
          </cell>
          <cell r="F36" t="str">
            <v>UPBG Andhra</v>
          </cell>
          <cell r="G36" t="str">
            <v>Upcountry</v>
          </cell>
          <cell r="H36" t="str">
            <v>UPBG Andhra</v>
          </cell>
          <cell r="I36" t="str">
            <v>Voltas</v>
          </cell>
          <cell r="J36">
            <v>26.5</v>
          </cell>
          <cell r="K36">
            <v>53</v>
          </cell>
          <cell r="L36">
            <v>150</v>
          </cell>
        </row>
        <row r="37">
          <cell r="A37">
            <v>524312</v>
          </cell>
          <cell r="B37" t="str">
            <v>Active</v>
          </cell>
          <cell r="C37" t="str">
            <v>Nellore</v>
          </cell>
          <cell r="D37" t="str">
            <v>Nellore</v>
          </cell>
          <cell r="E37" t="str">
            <v>Marri Padu</v>
          </cell>
          <cell r="F37" t="str">
            <v>UPBG Andhra</v>
          </cell>
          <cell r="G37" t="str">
            <v>Upcountry</v>
          </cell>
          <cell r="H37" t="str">
            <v>UPBG Andhra</v>
          </cell>
          <cell r="I37" t="str">
            <v>Voltas</v>
          </cell>
          <cell r="J37">
            <v>115</v>
          </cell>
          <cell r="K37">
            <v>230</v>
          </cell>
          <cell r="L37">
            <v>350</v>
          </cell>
        </row>
        <row r="38">
          <cell r="A38">
            <v>524315</v>
          </cell>
          <cell r="B38" t="str">
            <v>Active</v>
          </cell>
          <cell r="C38" t="str">
            <v>Nellore</v>
          </cell>
          <cell r="D38" t="str">
            <v>Nellore</v>
          </cell>
          <cell r="E38" t="str">
            <v>Allur (Nlr)</v>
          </cell>
          <cell r="F38" t="str">
            <v>UPBG Andhra</v>
          </cell>
          <cell r="G38" t="str">
            <v>Upcountry</v>
          </cell>
          <cell r="H38" t="str">
            <v>UPBG Andhra</v>
          </cell>
          <cell r="I38" t="str">
            <v>Voltas</v>
          </cell>
          <cell r="J38">
            <v>55</v>
          </cell>
          <cell r="K38">
            <v>110</v>
          </cell>
          <cell r="L38">
            <v>250</v>
          </cell>
        </row>
        <row r="39">
          <cell r="A39">
            <v>524317</v>
          </cell>
          <cell r="B39" t="str">
            <v>Active</v>
          </cell>
          <cell r="C39" t="str">
            <v>Nellore</v>
          </cell>
          <cell r="D39" t="str">
            <v>Nellore</v>
          </cell>
          <cell r="E39" t="str">
            <v>Gandavaram</v>
          </cell>
          <cell r="F39" t="str">
            <v>UPBG Andhra</v>
          </cell>
          <cell r="G39" t="str">
            <v>Local</v>
          </cell>
          <cell r="H39" t="str">
            <v>UPBG Andhra</v>
          </cell>
          <cell r="I39" t="str">
            <v>Voltas</v>
          </cell>
          <cell r="J39">
            <v>40</v>
          </cell>
          <cell r="K39">
            <v>80</v>
          </cell>
          <cell r="L39">
            <v>150</v>
          </cell>
        </row>
        <row r="40">
          <cell r="A40">
            <v>524322</v>
          </cell>
          <cell r="B40" t="str">
            <v>Active</v>
          </cell>
          <cell r="C40" t="str">
            <v>Nellore</v>
          </cell>
          <cell r="D40" t="str">
            <v>Nellore</v>
          </cell>
          <cell r="E40" t="str">
            <v>Atmakur (Nlr)</v>
          </cell>
          <cell r="F40" t="str">
            <v>UPBG Andhra</v>
          </cell>
          <cell r="G40" t="str">
            <v>Upcountry</v>
          </cell>
          <cell r="H40" t="str">
            <v>UPBG Andhra</v>
          </cell>
          <cell r="I40" t="str">
            <v>Voltas</v>
          </cell>
          <cell r="J40">
            <v>80</v>
          </cell>
          <cell r="K40">
            <v>160</v>
          </cell>
          <cell r="L40">
            <v>350</v>
          </cell>
        </row>
        <row r="41">
          <cell r="A41">
            <v>524323</v>
          </cell>
          <cell r="B41" t="str">
            <v>Active</v>
          </cell>
          <cell r="C41" t="str">
            <v>Nellore</v>
          </cell>
          <cell r="D41" t="str">
            <v>Nellore</v>
          </cell>
          <cell r="E41" t="str">
            <v>Nidigunta Palem</v>
          </cell>
          <cell r="F41" t="str">
            <v>UPBG Andhra</v>
          </cell>
          <cell r="G41" t="str">
            <v>Upcountry</v>
          </cell>
          <cell r="H41" t="str">
            <v>UPBG Andhra</v>
          </cell>
          <cell r="I41" t="str">
            <v>Voltas</v>
          </cell>
          <cell r="J41">
            <v>35</v>
          </cell>
          <cell r="K41">
            <v>70</v>
          </cell>
          <cell r="L41">
            <v>150</v>
          </cell>
        </row>
        <row r="42">
          <cell r="A42">
            <v>524324</v>
          </cell>
          <cell r="B42" t="str">
            <v>Active</v>
          </cell>
          <cell r="C42" t="str">
            <v>Nellore</v>
          </cell>
          <cell r="D42" t="str">
            <v>Nellore</v>
          </cell>
          <cell r="E42" t="str">
            <v>Iskapalli</v>
          </cell>
          <cell r="F42" t="str">
            <v>UPBG Andhra</v>
          </cell>
          <cell r="G42" t="str">
            <v>Upcountry</v>
          </cell>
          <cell r="H42" t="str">
            <v>UPBG Andhra</v>
          </cell>
          <cell r="I42" t="str">
            <v>Voltas</v>
          </cell>
          <cell r="J42">
            <v>125</v>
          </cell>
          <cell r="K42">
            <v>250</v>
          </cell>
          <cell r="L42">
            <v>350</v>
          </cell>
        </row>
        <row r="43">
          <cell r="A43">
            <v>524333</v>
          </cell>
          <cell r="B43" t="str">
            <v>Active</v>
          </cell>
          <cell r="C43" t="str">
            <v>Nellore</v>
          </cell>
          <cell r="D43" t="str">
            <v>Nellore</v>
          </cell>
          <cell r="E43" t="str">
            <v>Kolagatla</v>
          </cell>
          <cell r="F43" t="str">
            <v>UPBG Andhra</v>
          </cell>
          <cell r="G43" t="str">
            <v>Upcountry</v>
          </cell>
          <cell r="H43" t="str">
            <v>UPBG Andhra</v>
          </cell>
          <cell r="I43" t="str">
            <v>Voltas</v>
          </cell>
          <cell r="J43">
            <v>53.5</v>
          </cell>
          <cell r="K43">
            <v>107</v>
          </cell>
          <cell r="L43">
            <v>250</v>
          </cell>
        </row>
        <row r="44">
          <cell r="A44">
            <v>524343</v>
          </cell>
          <cell r="B44" t="str">
            <v>Active</v>
          </cell>
          <cell r="C44" t="str">
            <v>Nellore</v>
          </cell>
          <cell r="D44" t="str">
            <v>Nellore</v>
          </cell>
          <cell r="E44" t="str">
            <v>Kalu Voya</v>
          </cell>
          <cell r="F44" t="str">
            <v>UPBG Andhra</v>
          </cell>
          <cell r="G44" t="str">
            <v>Upcountry</v>
          </cell>
          <cell r="H44" t="str">
            <v>UPBG Andhra</v>
          </cell>
          <cell r="I44" t="str">
            <v>Voltas</v>
          </cell>
          <cell r="J44">
            <v>85</v>
          </cell>
          <cell r="K44">
            <v>170</v>
          </cell>
          <cell r="L44">
            <v>350</v>
          </cell>
        </row>
        <row r="45">
          <cell r="A45">
            <v>524345</v>
          </cell>
          <cell r="B45" t="str">
            <v>Active</v>
          </cell>
          <cell r="C45" t="str">
            <v>Nellore</v>
          </cell>
          <cell r="D45" t="str">
            <v>Nellore</v>
          </cell>
          <cell r="E45" t="str">
            <v>Teachers Colony</v>
          </cell>
          <cell r="F45" t="str">
            <v>UPBG Andhra</v>
          </cell>
          <cell r="G45" t="str">
            <v>Local</v>
          </cell>
          <cell r="H45" t="str">
            <v>UPBG Andhra</v>
          </cell>
          <cell r="I45" t="str">
            <v>Voltas</v>
          </cell>
          <cell r="J45">
            <v>55</v>
          </cell>
          <cell r="K45">
            <v>110</v>
          </cell>
          <cell r="L45">
            <v>250</v>
          </cell>
        </row>
        <row r="46">
          <cell r="A46">
            <v>524346</v>
          </cell>
          <cell r="B46" t="str">
            <v>Active</v>
          </cell>
          <cell r="C46" t="str">
            <v>Nellore</v>
          </cell>
          <cell r="D46" t="str">
            <v>Nellore</v>
          </cell>
          <cell r="E46" t="str">
            <v>Brahma Devam</v>
          </cell>
          <cell r="F46" t="str">
            <v>UPBG Andhra</v>
          </cell>
          <cell r="G46" t="str">
            <v>Upcountry</v>
          </cell>
          <cell r="H46" t="str">
            <v>UPBG Andhra</v>
          </cell>
          <cell r="I46" t="str">
            <v>Voltas</v>
          </cell>
          <cell r="J46">
            <v>52.5</v>
          </cell>
          <cell r="K46">
            <v>105</v>
          </cell>
          <cell r="L46">
            <v>250</v>
          </cell>
        </row>
        <row r="47">
          <cell r="A47">
            <v>524366</v>
          </cell>
          <cell r="B47" t="str">
            <v>Active</v>
          </cell>
          <cell r="C47" t="str">
            <v>Nellore</v>
          </cell>
          <cell r="D47" t="str">
            <v>Nellore</v>
          </cell>
          <cell r="E47" t="str">
            <v>Yellaya Palem</v>
          </cell>
          <cell r="F47" t="str">
            <v>UPBG Andhra</v>
          </cell>
          <cell r="G47" t="str">
            <v>Local</v>
          </cell>
          <cell r="H47" t="str">
            <v>UPBG Andhra</v>
          </cell>
          <cell r="I47" t="str">
            <v>Voltas</v>
          </cell>
          <cell r="J47">
            <v>35</v>
          </cell>
          <cell r="K47">
            <v>70</v>
          </cell>
          <cell r="L47">
            <v>150</v>
          </cell>
        </row>
        <row r="48">
          <cell r="A48">
            <v>524407</v>
          </cell>
          <cell r="B48" t="str">
            <v>Active</v>
          </cell>
          <cell r="C48" t="str">
            <v>Nellore</v>
          </cell>
          <cell r="D48" t="str">
            <v>Nellore</v>
          </cell>
          <cell r="E48" t="str">
            <v>Gulimcherla</v>
          </cell>
          <cell r="F48" t="str">
            <v>UPBG Andhra</v>
          </cell>
          <cell r="G48" t="str">
            <v>Upcountry</v>
          </cell>
          <cell r="H48" t="str">
            <v>UPBG Andhra</v>
          </cell>
          <cell r="I48" t="str">
            <v xml:space="preserve"> Voltas</v>
          </cell>
          <cell r="J48">
            <v>76.5</v>
          </cell>
          <cell r="K48">
            <v>153</v>
          </cell>
          <cell r="L48">
            <v>350</v>
          </cell>
        </row>
        <row r="49">
          <cell r="A49">
            <v>524408</v>
          </cell>
          <cell r="B49" t="str">
            <v>Active</v>
          </cell>
          <cell r="C49" t="str">
            <v>Nellore</v>
          </cell>
          <cell r="D49" t="str">
            <v>Nellore</v>
          </cell>
          <cell r="E49" t="str">
            <v>Rapur</v>
          </cell>
          <cell r="F49" t="str">
            <v>UPBG Andhra</v>
          </cell>
          <cell r="G49" t="str">
            <v>Upcountry</v>
          </cell>
          <cell r="H49" t="str">
            <v>UPBG Andhra</v>
          </cell>
          <cell r="I49" t="str">
            <v>Voltas</v>
          </cell>
          <cell r="J49">
            <v>77.5</v>
          </cell>
          <cell r="K49">
            <v>155</v>
          </cell>
          <cell r="L49">
            <v>350</v>
          </cell>
        </row>
        <row r="50">
          <cell r="A50">
            <v>524409</v>
          </cell>
          <cell r="B50" t="str">
            <v>Active</v>
          </cell>
          <cell r="C50" t="str">
            <v>Nellore</v>
          </cell>
          <cell r="D50" t="str">
            <v>Nellore</v>
          </cell>
          <cell r="E50" t="str">
            <v>Kali Chedu</v>
          </cell>
          <cell r="F50" t="str">
            <v>UPBG Andhra</v>
          </cell>
          <cell r="G50" t="str">
            <v>Upcountry</v>
          </cell>
          <cell r="H50" t="str">
            <v>UPBG Andhra</v>
          </cell>
          <cell r="I50" t="str">
            <v>Voltas</v>
          </cell>
          <cell r="J50">
            <v>77.5</v>
          </cell>
          <cell r="K50">
            <v>155</v>
          </cell>
          <cell r="L50">
            <v>350</v>
          </cell>
        </row>
        <row r="51">
          <cell r="A51">
            <v>524411</v>
          </cell>
          <cell r="B51" t="str">
            <v>Active</v>
          </cell>
          <cell r="C51" t="str">
            <v>Nellore</v>
          </cell>
          <cell r="D51" t="str">
            <v>Nellore</v>
          </cell>
          <cell r="E51" t="str">
            <v>Kota (Nlr)</v>
          </cell>
          <cell r="F51" t="str">
            <v>UPBG Andhra</v>
          </cell>
          <cell r="G51" t="str">
            <v>Upcountry</v>
          </cell>
          <cell r="H51" t="str">
            <v>UPBG Andhra</v>
          </cell>
          <cell r="I51" t="str">
            <v>Voltbek</v>
          </cell>
          <cell r="J51">
            <v>77.5</v>
          </cell>
          <cell r="K51">
            <v>155</v>
          </cell>
          <cell r="L51">
            <v>350</v>
          </cell>
        </row>
        <row r="52">
          <cell r="A52">
            <v>524414</v>
          </cell>
          <cell r="B52" t="str">
            <v>Active</v>
          </cell>
          <cell r="C52" t="str">
            <v>Nellore</v>
          </cell>
          <cell r="D52" t="str">
            <v>Nellore</v>
          </cell>
          <cell r="E52" t="str">
            <v>Gunda Volu</v>
          </cell>
          <cell r="F52" t="str">
            <v>UPBG Andhra</v>
          </cell>
          <cell r="G52" t="str">
            <v>Upcountry</v>
          </cell>
          <cell r="H52" t="str">
            <v>UPBG Andhra</v>
          </cell>
          <cell r="I52" t="str">
            <v>Voltbek</v>
          </cell>
          <cell r="J52">
            <v>80</v>
          </cell>
          <cell r="K52">
            <v>160</v>
          </cell>
          <cell r="L52">
            <v>350</v>
          </cell>
        </row>
        <row r="53">
          <cell r="A53">
            <v>524308</v>
          </cell>
          <cell r="B53" t="str">
            <v>Active</v>
          </cell>
          <cell r="C53" t="str">
            <v>Nellore</v>
          </cell>
          <cell r="D53" t="str">
            <v>Sangam</v>
          </cell>
          <cell r="E53" t="str">
            <v>Vasili</v>
          </cell>
          <cell r="F53" t="str">
            <v>UPBG Andhra</v>
          </cell>
          <cell r="G53" t="str">
            <v>Upcountry</v>
          </cell>
          <cell r="H53" t="str">
            <v>UPBG Andhra</v>
          </cell>
          <cell r="I53" t="str">
            <v>Voltas</v>
          </cell>
          <cell r="J53">
            <v>53.5</v>
          </cell>
          <cell r="K53">
            <v>107</v>
          </cell>
          <cell r="L53">
            <v>250</v>
          </cell>
        </row>
        <row r="54">
          <cell r="A54">
            <v>524310</v>
          </cell>
          <cell r="B54" t="str">
            <v>Active</v>
          </cell>
          <cell r="C54" t="str">
            <v>Nellore</v>
          </cell>
          <cell r="D54" t="str">
            <v>Seetharamapuram</v>
          </cell>
          <cell r="E54" t="str">
            <v>Ayyavaripalem</v>
          </cell>
          <cell r="F54" t="str">
            <v>UPBG Andhra</v>
          </cell>
          <cell r="G54" t="str">
            <v>Upcountry</v>
          </cell>
          <cell r="H54" t="str">
            <v>UPBG Andhra</v>
          </cell>
          <cell r="I54" t="str">
            <v>Voltas</v>
          </cell>
          <cell r="J54">
            <v>140</v>
          </cell>
          <cell r="K54">
            <v>280</v>
          </cell>
          <cell r="L54">
            <v>350</v>
          </cell>
        </row>
        <row r="55">
          <cell r="A55">
            <v>524225</v>
          </cell>
          <cell r="B55" t="str">
            <v>Active</v>
          </cell>
          <cell r="C55" t="str">
            <v>Nellore</v>
          </cell>
          <cell r="D55" t="str">
            <v>Siddanakonduru</v>
          </cell>
          <cell r="E55" t="str">
            <v>Turupur</v>
          </cell>
          <cell r="F55" t="str">
            <v>UPBG Andhra</v>
          </cell>
          <cell r="G55" t="str">
            <v>Upcountry</v>
          </cell>
          <cell r="H55" t="str">
            <v>UPBG Andhra</v>
          </cell>
          <cell r="I55" t="str">
            <v>Voltas</v>
          </cell>
          <cell r="J55">
            <v>77.5</v>
          </cell>
          <cell r="K55">
            <v>155</v>
          </cell>
          <cell r="L55">
            <v>350</v>
          </cell>
        </row>
        <row r="56">
          <cell r="A56">
            <v>524301</v>
          </cell>
          <cell r="B56" t="str">
            <v>Active</v>
          </cell>
          <cell r="C56" t="str">
            <v>Nellore</v>
          </cell>
          <cell r="D56" t="str">
            <v>Ss Project</v>
          </cell>
          <cell r="E56" t="str">
            <v>Manchalapalli</v>
          </cell>
          <cell r="F56" t="str">
            <v>UPBG Andhra</v>
          </cell>
          <cell r="G56" t="str">
            <v>Upcountry</v>
          </cell>
          <cell r="H56" t="str">
            <v>UPBG Andhra</v>
          </cell>
          <cell r="I56" t="str">
            <v>Voltas</v>
          </cell>
          <cell r="J56">
            <v>85</v>
          </cell>
          <cell r="K56">
            <v>170</v>
          </cell>
          <cell r="L56">
            <v>350</v>
          </cell>
        </row>
        <row r="57">
          <cell r="A57">
            <v>524321</v>
          </cell>
          <cell r="B57" t="str">
            <v>Active</v>
          </cell>
          <cell r="C57" t="str">
            <v>Nellore</v>
          </cell>
          <cell r="D57" t="str">
            <v>Survepalli</v>
          </cell>
          <cell r="E57" t="str">
            <v>Survepalli</v>
          </cell>
          <cell r="F57" t="str">
            <v>UPBG Andhra</v>
          </cell>
          <cell r="G57" t="str">
            <v>Upcountry</v>
          </cell>
          <cell r="H57" t="str">
            <v>UPBG Andhra</v>
          </cell>
          <cell r="I57" t="str">
            <v>Voltas</v>
          </cell>
          <cell r="J57">
            <v>40</v>
          </cell>
          <cell r="K57">
            <v>80</v>
          </cell>
          <cell r="L57">
            <v>150</v>
          </cell>
        </row>
        <row r="58">
          <cell r="A58">
            <v>524415</v>
          </cell>
          <cell r="B58" t="str">
            <v>Active</v>
          </cell>
          <cell r="C58" t="str">
            <v>Nellore</v>
          </cell>
          <cell r="D58" t="str">
            <v>Vakadu</v>
          </cell>
          <cell r="E58" t="str">
            <v>Balireddypalem</v>
          </cell>
          <cell r="F58" t="str">
            <v>UPBG Andhra</v>
          </cell>
          <cell r="G58" t="str">
            <v>Upcountry</v>
          </cell>
          <cell r="H58" t="str">
            <v>UPBG Andhra</v>
          </cell>
          <cell r="I58" t="str">
            <v>Voltbek</v>
          </cell>
          <cell r="J58">
            <v>77.5</v>
          </cell>
          <cell r="K58">
            <v>155</v>
          </cell>
          <cell r="L58">
            <v>350</v>
          </cell>
        </row>
        <row r="59">
          <cell r="A59">
            <v>524320</v>
          </cell>
          <cell r="B59" t="str">
            <v>Active</v>
          </cell>
          <cell r="C59" t="str">
            <v>Nellore</v>
          </cell>
          <cell r="D59" t="str">
            <v>Venkatachalam</v>
          </cell>
          <cell r="E59" t="str">
            <v>Tikkavarapadu</v>
          </cell>
          <cell r="F59" t="str">
            <v>UPBG Andhra</v>
          </cell>
          <cell r="G59" t="str">
            <v>Upcountry</v>
          </cell>
          <cell r="H59" t="str">
            <v>UPBG Andhra</v>
          </cell>
          <cell r="I59" t="str">
            <v>Voltbek</v>
          </cell>
          <cell r="J59">
            <v>40</v>
          </cell>
          <cell r="K59">
            <v>80</v>
          </cell>
          <cell r="L59">
            <v>150</v>
          </cell>
        </row>
        <row r="60">
          <cell r="A60">
            <v>524218</v>
          </cell>
          <cell r="B60" t="str">
            <v>Active</v>
          </cell>
          <cell r="C60" t="str">
            <v>Nellore</v>
          </cell>
          <cell r="D60" t="str">
            <v>Vidavalur</v>
          </cell>
          <cell r="E60" t="str">
            <v>Alaganipadu</v>
          </cell>
          <cell r="F60" t="str">
            <v>UPBG Andhra</v>
          </cell>
          <cell r="G60" t="str">
            <v>Upcountry</v>
          </cell>
          <cell r="H60" t="str">
            <v>UPBG Andhra</v>
          </cell>
          <cell r="I60" t="str">
            <v>Voltas</v>
          </cell>
          <cell r="J60">
            <v>55</v>
          </cell>
          <cell r="K60">
            <v>110</v>
          </cell>
          <cell r="L60">
            <v>250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workbookViewId="0"/>
  </sheetViews>
  <sheetFormatPr defaultRowHeight="15" x14ac:dyDescent="0.25"/>
  <cols>
    <col min="1" max="1" width="12.7109375" bestFit="1" customWidth="1"/>
    <col min="2" max="2" width="28.140625" bestFit="1" customWidth="1"/>
    <col min="3" max="3" width="20.28515625" bestFit="1" customWidth="1"/>
    <col min="4" max="4" width="11.85546875" bestFit="1" customWidth="1"/>
    <col min="5" max="5" width="17.5703125" bestFit="1" customWidth="1"/>
    <col min="6" max="6" width="21.7109375" bestFit="1" customWidth="1"/>
    <col min="7" max="7" width="14.42578125" bestFit="1" customWidth="1"/>
    <col min="8" max="8" width="19.7109375" bestFit="1" customWidth="1"/>
    <col min="9" max="10" width="19.7109375" customWidth="1"/>
    <col min="11" max="11" width="15" bestFit="1" customWidth="1"/>
  </cols>
  <sheetData>
    <row r="1" spans="1:11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125</v>
      </c>
      <c r="J1" s="1" t="s">
        <v>124</v>
      </c>
      <c r="K1" s="1" t="s">
        <v>118</v>
      </c>
    </row>
    <row r="2" spans="1:11" x14ac:dyDescent="0.25">
      <c r="A2" s="1">
        <v>524305</v>
      </c>
      <c r="B2" s="1" t="s">
        <v>14</v>
      </c>
      <c r="C2" s="1">
        <v>153277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>
        <f>VLOOKUP(A2,[1]Charges!$A$1:$L$60,10,FALSE)</f>
        <v>40</v>
      </c>
      <c r="J2" s="1">
        <f>VLOOKUP(A2,[1]Charges!$A$1:$L$60,12,FALSE)</f>
        <v>150</v>
      </c>
      <c r="K2" s="1" t="s">
        <v>123</v>
      </c>
    </row>
    <row r="3" spans="1:11" x14ac:dyDescent="0.25">
      <c r="A3" s="1">
        <v>524341</v>
      </c>
      <c r="B3" s="1" t="s">
        <v>16</v>
      </c>
      <c r="C3" s="1">
        <v>121662</v>
      </c>
      <c r="D3" s="1" t="s">
        <v>9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f>VLOOKUP(A3,[1]Charges!$A$1:$L$60,10,FALSE)</f>
        <v>95</v>
      </c>
      <c r="J3" s="1">
        <f>VLOOKUP(A3,[1]Charges!$A$1:$L$60,12,FALSE)</f>
        <v>350</v>
      </c>
      <c r="K3" s="1" t="s">
        <v>123</v>
      </c>
    </row>
    <row r="4" spans="1:11" x14ac:dyDescent="0.25">
      <c r="A4" s="1">
        <v>524412</v>
      </c>
      <c r="B4" s="1" t="s">
        <v>16</v>
      </c>
      <c r="C4" s="1">
        <v>121662</v>
      </c>
      <c r="D4" s="1" t="s">
        <v>9</v>
      </c>
      <c r="E4" s="1" t="s">
        <v>21</v>
      </c>
      <c r="F4" s="1" t="s">
        <v>22</v>
      </c>
      <c r="G4" s="1" t="s">
        <v>19</v>
      </c>
      <c r="H4" s="1" t="s">
        <v>20</v>
      </c>
      <c r="I4" s="1">
        <v>150</v>
      </c>
      <c r="J4" s="1">
        <v>250</v>
      </c>
      <c r="K4" s="1" t="s">
        <v>123</v>
      </c>
    </row>
    <row r="5" spans="1:11" x14ac:dyDescent="0.25">
      <c r="A5" s="1">
        <v>524403</v>
      </c>
      <c r="B5" s="1" t="s">
        <v>16</v>
      </c>
      <c r="C5" s="1">
        <v>121662</v>
      </c>
      <c r="D5" s="1" t="s">
        <v>9</v>
      </c>
      <c r="E5" s="1" t="s">
        <v>23</v>
      </c>
      <c r="F5" s="1" t="s">
        <v>24</v>
      </c>
      <c r="G5" s="1" t="s">
        <v>19</v>
      </c>
      <c r="H5" s="1" t="s">
        <v>20</v>
      </c>
      <c r="I5" s="1">
        <v>150</v>
      </c>
      <c r="J5" s="1">
        <v>250</v>
      </c>
      <c r="K5" s="1" t="s">
        <v>123</v>
      </c>
    </row>
    <row r="6" spans="1:11" x14ac:dyDescent="0.25">
      <c r="A6" s="1">
        <v>524240</v>
      </c>
      <c r="B6" s="1" t="s">
        <v>8</v>
      </c>
      <c r="C6" s="1">
        <v>153277</v>
      </c>
      <c r="D6" s="1" t="s">
        <v>9</v>
      </c>
      <c r="E6" s="1" t="s">
        <v>25</v>
      </c>
      <c r="F6" s="1" t="s">
        <v>26</v>
      </c>
      <c r="G6" s="1" t="s">
        <v>19</v>
      </c>
      <c r="H6" s="1" t="s">
        <v>13</v>
      </c>
      <c r="I6" s="1">
        <f>VLOOKUP(A6,[1]Charges!$A$1:$L$60,10,FALSE)</f>
        <v>95</v>
      </c>
      <c r="J6" s="1">
        <v>250</v>
      </c>
      <c r="K6" s="1" t="s">
        <v>120</v>
      </c>
    </row>
    <row r="7" spans="1:11" x14ac:dyDescent="0.25">
      <c r="A7" s="1">
        <v>524134</v>
      </c>
      <c r="B7" s="1" t="s">
        <v>16</v>
      </c>
      <c r="C7" s="1">
        <v>121662</v>
      </c>
      <c r="D7" s="1" t="s">
        <v>9</v>
      </c>
      <c r="E7" s="1" t="s">
        <v>27</v>
      </c>
      <c r="F7" s="1" t="s">
        <v>28</v>
      </c>
      <c r="G7" s="1" t="s">
        <v>19</v>
      </c>
      <c r="H7" s="1" t="s">
        <v>15</v>
      </c>
      <c r="I7" s="1">
        <v>150</v>
      </c>
      <c r="J7" s="1">
        <v>250</v>
      </c>
      <c r="K7" s="1" t="s">
        <v>123</v>
      </c>
    </row>
    <row r="8" spans="1:11" x14ac:dyDescent="0.25">
      <c r="A8" s="1">
        <v>524152</v>
      </c>
      <c r="B8" s="1" t="s">
        <v>14</v>
      </c>
      <c r="C8" s="1">
        <v>152401</v>
      </c>
      <c r="D8" s="1" t="s">
        <v>9</v>
      </c>
      <c r="E8" s="1" t="s">
        <v>29</v>
      </c>
      <c r="F8" s="1" t="s">
        <v>30</v>
      </c>
      <c r="G8" s="1" t="s">
        <v>19</v>
      </c>
      <c r="H8" s="1" t="s">
        <v>13</v>
      </c>
      <c r="I8" s="1">
        <f>VLOOKUP(A8,[1]Charges!$A$1:$L$60,10,FALSE)</f>
        <v>95</v>
      </c>
      <c r="J8" s="1">
        <f>VLOOKUP(A8,[1]Charges!$A$1:$L$60,12,FALSE)</f>
        <v>350</v>
      </c>
      <c r="K8" s="1" t="s">
        <v>123</v>
      </c>
    </row>
    <row r="9" spans="1:11" x14ac:dyDescent="0.25">
      <c r="A9" s="1">
        <v>524410</v>
      </c>
      <c r="B9" s="1" t="s">
        <v>16</v>
      </c>
      <c r="C9" s="1">
        <v>121662</v>
      </c>
      <c r="D9" s="1" t="s">
        <v>9</v>
      </c>
      <c r="E9" s="1" t="s">
        <v>31</v>
      </c>
      <c r="F9" s="1" t="s">
        <v>32</v>
      </c>
      <c r="G9" s="1" t="s">
        <v>19</v>
      </c>
      <c r="H9" s="1" t="s">
        <v>20</v>
      </c>
      <c r="I9" s="1">
        <v>150</v>
      </c>
      <c r="J9" s="1">
        <v>250</v>
      </c>
      <c r="K9" s="1" t="s">
        <v>123</v>
      </c>
    </row>
    <row r="10" spans="1:11" x14ac:dyDescent="0.25">
      <c r="A10" s="1">
        <v>524001</v>
      </c>
      <c r="B10" s="1" t="s">
        <v>14</v>
      </c>
      <c r="C10" s="1">
        <v>153277</v>
      </c>
      <c r="D10" s="1" t="s">
        <v>9</v>
      </c>
      <c r="E10" s="1" t="s">
        <v>33</v>
      </c>
      <c r="F10" s="1" t="s">
        <v>34</v>
      </c>
      <c r="G10" s="1" t="s">
        <v>12</v>
      </c>
      <c r="H10" s="1" t="s">
        <v>13</v>
      </c>
      <c r="I10" s="1">
        <f>VLOOKUP(A10,[1]Charges!$A$1:$L$60,10,FALSE)</f>
        <v>15</v>
      </c>
      <c r="J10" s="1">
        <f>VLOOKUP(A10,[1]Charges!$A$1:$L$60,12,FALSE)</f>
        <v>150</v>
      </c>
      <c r="K10" s="1" t="s">
        <v>123</v>
      </c>
    </row>
    <row r="11" spans="1:11" x14ac:dyDescent="0.25">
      <c r="A11" s="1">
        <v>524201</v>
      </c>
      <c r="B11" s="1" t="s">
        <v>14</v>
      </c>
      <c r="C11" s="1">
        <v>152401</v>
      </c>
      <c r="D11" s="1" t="s">
        <v>9</v>
      </c>
      <c r="E11" s="1" t="s">
        <v>33</v>
      </c>
      <c r="F11" s="1" t="s">
        <v>35</v>
      </c>
      <c r="G11" s="1" t="s">
        <v>19</v>
      </c>
      <c r="H11" s="1" t="s">
        <v>13</v>
      </c>
      <c r="I11" s="1">
        <f>VLOOKUP(A11,[1]Charges!$A$1:$L$60,10,FALSE)</f>
        <v>90</v>
      </c>
      <c r="J11" s="1">
        <f>VLOOKUP(A11,[1]Charges!$A$1:$L$60,12,FALSE)</f>
        <v>350</v>
      </c>
      <c r="K11" s="1" t="s">
        <v>123</v>
      </c>
    </row>
    <row r="12" spans="1:11" x14ac:dyDescent="0.25">
      <c r="A12" s="1">
        <v>524202</v>
      </c>
      <c r="B12" s="1" t="s">
        <v>14</v>
      </c>
      <c r="C12" s="1">
        <v>152401</v>
      </c>
      <c r="D12" s="1" t="s">
        <v>9</v>
      </c>
      <c r="E12" s="1" t="s">
        <v>33</v>
      </c>
      <c r="F12" s="1" t="s">
        <v>36</v>
      </c>
      <c r="G12" s="1" t="s">
        <v>19</v>
      </c>
      <c r="H12" s="1" t="s">
        <v>13</v>
      </c>
      <c r="I12" s="1">
        <f>VLOOKUP(A12,[1]Charges!$A$1:$L$60,10,FALSE)</f>
        <v>90</v>
      </c>
      <c r="J12" s="1">
        <f>VLOOKUP(A12,[1]Charges!$A$1:$L$60,12,FALSE)</f>
        <v>350</v>
      </c>
      <c r="K12" s="1" t="s">
        <v>123</v>
      </c>
    </row>
    <row r="13" spans="1:11" x14ac:dyDescent="0.25">
      <c r="A13" s="1">
        <v>524316</v>
      </c>
      <c r="B13" s="1" t="s">
        <v>14</v>
      </c>
      <c r="C13" s="1">
        <v>152401</v>
      </c>
      <c r="D13" s="1" t="s">
        <v>9</v>
      </c>
      <c r="E13" s="1" t="s">
        <v>37</v>
      </c>
      <c r="F13" s="1" t="s">
        <v>38</v>
      </c>
      <c r="G13" s="1" t="s">
        <v>12</v>
      </c>
      <c r="H13" s="1" t="s">
        <v>13</v>
      </c>
      <c r="I13" s="1">
        <f>VLOOKUP(A13,[1]Charges!$A$1:$L$60,10,FALSE)</f>
        <v>30</v>
      </c>
      <c r="J13" s="1">
        <f>VLOOKUP(A13,[1]Charges!$A$1:$L$60,12,FALSE)</f>
        <v>150</v>
      </c>
      <c r="K13" s="1" t="s">
        <v>123</v>
      </c>
    </row>
    <row r="14" spans="1:11" x14ac:dyDescent="0.25">
      <c r="A14" s="1">
        <v>524344</v>
      </c>
      <c r="B14" s="1" t="s">
        <v>14</v>
      </c>
      <c r="C14" s="1">
        <v>153277</v>
      </c>
      <c r="D14" s="1" t="s">
        <v>9</v>
      </c>
      <c r="E14" s="1" t="s">
        <v>39</v>
      </c>
      <c r="F14" s="1" t="s">
        <v>40</v>
      </c>
      <c r="G14" s="1" t="s">
        <v>19</v>
      </c>
      <c r="H14" s="1" t="s">
        <v>13</v>
      </c>
      <c r="I14" s="1">
        <f>VLOOKUP(A14,[1]Charges!$A$1:$L$60,10,FALSE)</f>
        <v>90</v>
      </c>
      <c r="J14" s="1">
        <f>VLOOKUP(A14,[1]Charges!$A$1:$L$60,12,FALSE)</f>
        <v>350</v>
      </c>
      <c r="K14" s="1" t="s">
        <v>123</v>
      </c>
    </row>
    <row r="15" spans="1:11" x14ac:dyDescent="0.25">
      <c r="A15" s="1">
        <v>524313</v>
      </c>
      <c r="B15" s="1" t="s">
        <v>8</v>
      </c>
      <c r="C15" s="1">
        <v>153277</v>
      </c>
      <c r="D15" s="1" t="s">
        <v>9</v>
      </c>
      <c r="E15" s="1" t="s">
        <v>41</v>
      </c>
      <c r="F15" s="1" t="s">
        <v>42</v>
      </c>
      <c r="G15" s="1" t="s">
        <v>19</v>
      </c>
      <c r="H15" s="1" t="s">
        <v>13</v>
      </c>
      <c r="I15" s="1">
        <f>VLOOKUP(A15,[1]Charges!$A$1:$L$60,10,FALSE)</f>
        <v>52.5</v>
      </c>
      <c r="J15" s="1">
        <f>VLOOKUP(A15,[1]Charges!$A$1:$L$60,12,FALSE)</f>
        <v>250</v>
      </c>
      <c r="K15" s="1" t="s">
        <v>119</v>
      </c>
    </row>
    <row r="16" spans="1:11" x14ac:dyDescent="0.25">
      <c r="A16" s="1">
        <v>524126</v>
      </c>
      <c r="B16" s="1" t="s">
        <v>16</v>
      </c>
      <c r="C16" s="1">
        <v>121662</v>
      </c>
      <c r="D16" s="1" t="s">
        <v>9</v>
      </c>
      <c r="E16" s="1" t="s">
        <v>43</v>
      </c>
      <c r="F16" s="1" t="s">
        <v>44</v>
      </c>
      <c r="G16" s="1" t="s">
        <v>19</v>
      </c>
      <c r="H16" s="1" t="s">
        <v>20</v>
      </c>
      <c r="I16" s="1">
        <v>150</v>
      </c>
      <c r="J16" s="1">
        <v>250</v>
      </c>
      <c r="K16" s="1" t="s">
        <v>123</v>
      </c>
    </row>
    <row r="17" spans="1:11" x14ac:dyDescent="0.25">
      <c r="A17" s="1">
        <v>524230</v>
      </c>
      <c r="B17" s="1" t="s">
        <v>8</v>
      </c>
      <c r="C17" s="1">
        <v>153277</v>
      </c>
      <c r="D17" s="1" t="s">
        <v>9</v>
      </c>
      <c r="E17" s="1" t="s">
        <v>45</v>
      </c>
      <c r="F17" s="1" t="s">
        <v>46</v>
      </c>
      <c r="G17" s="1" t="s">
        <v>19</v>
      </c>
      <c r="H17" s="1" t="s">
        <v>13</v>
      </c>
      <c r="I17" s="1">
        <f>VLOOKUP(A17,[1]Charges!$A$1:$L$60,10,FALSE)</f>
        <v>90</v>
      </c>
      <c r="J17" s="1">
        <v>250</v>
      </c>
      <c r="K17" s="1" t="s">
        <v>120</v>
      </c>
    </row>
    <row r="18" spans="1:11" x14ac:dyDescent="0.25">
      <c r="A18" s="1">
        <v>524002</v>
      </c>
      <c r="B18" s="1" t="s">
        <v>8</v>
      </c>
      <c r="C18" s="1">
        <v>153277</v>
      </c>
      <c r="D18" s="1" t="s">
        <v>9</v>
      </c>
      <c r="E18" s="1" t="s">
        <v>9</v>
      </c>
      <c r="F18" s="1" t="s">
        <v>47</v>
      </c>
      <c r="G18" s="1" t="s">
        <v>12</v>
      </c>
      <c r="H18" s="1" t="s">
        <v>13</v>
      </c>
      <c r="I18" s="1">
        <f>VLOOKUP(A18,[1]Charges!$A$1:$L$60,10,FALSE)</f>
        <v>15</v>
      </c>
      <c r="J18" s="1">
        <f>VLOOKUP(A18,[1]Charges!$A$1:$L$60,12,FALSE)</f>
        <v>150</v>
      </c>
      <c r="K18" s="1" t="s">
        <v>119</v>
      </c>
    </row>
    <row r="19" spans="1:11" x14ac:dyDescent="0.25">
      <c r="A19" s="1">
        <v>524003</v>
      </c>
      <c r="B19" s="1" t="s">
        <v>14</v>
      </c>
      <c r="C19" s="1">
        <v>153277</v>
      </c>
      <c r="D19" s="1" t="s">
        <v>9</v>
      </c>
      <c r="E19" s="1" t="s">
        <v>9</v>
      </c>
      <c r="F19" s="1" t="s">
        <v>48</v>
      </c>
      <c r="G19" s="1" t="s">
        <v>12</v>
      </c>
      <c r="H19" s="1" t="s">
        <v>13</v>
      </c>
      <c r="I19" s="1">
        <f>VLOOKUP(A19,[1]Charges!$A$1:$L$60,10,FALSE)</f>
        <v>15</v>
      </c>
      <c r="J19" s="1">
        <f>VLOOKUP(A19,[1]Charges!$A$1:$L$60,12,FALSE)</f>
        <v>150</v>
      </c>
      <c r="K19" s="1" t="s">
        <v>123</v>
      </c>
    </row>
    <row r="20" spans="1:11" x14ac:dyDescent="0.25">
      <c r="A20" s="1">
        <v>524004</v>
      </c>
      <c r="B20" s="1" t="s">
        <v>8</v>
      </c>
      <c r="C20" s="1">
        <v>153277</v>
      </c>
      <c r="D20" s="1" t="s">
        <v>9</v>
      </c>
      <c r="E20" s="1" t="s">
        <v>9</v>
      </c>
      <c r="F20" s="1" t="s">
        <v>49</v>
      </c>
      <c r="G20" s="1" t="s">
        <v>12</v>
      </c>
      <c r="H20" s="1" t="s">
        <v>13</v>
      </c>
      <c r="I20" s="1">
        <f>VLOOKUP(A20,[1]Charges!$A$1:$L$60,10,FALSE)</f>
        <v>15</v>
      </c>
      <c r="J20" s="1">
        <f>VLOOKUP(A20,[1]Charges!$A$1:$L$60,12,FALSE)</f>
        <v>150</v>
      </c>
      <c r="K20" s="1" t="s">
        <v>121</v>
      </c>
    </row>
    <row r="21" spans="1:11" x14ac:dyDescent="0.25">
      <c r="A21" s="1">
        <v>524005</v>
      </c>
      <c r="B21" s="1" t="s">
        <v>8</v>
      </c>
      <c r="C21" s="1">
        <v>153277</v>
      </c>
      <c r="D21" s="1" t="s">
        <v>9</v>
      </c>
      <c r="E21" s="1" t="s">
        <v>9</v>
      </c>
      <c r="F21" s="1" t="s">
        <v>50</v>
      </c>
      <c r="G21" s="1" t="s">
        <v>12</v>
      </c>
      <c r="H21" s="1" t="s">
        <v>13</v>
      </c>
      <c r="I21" s="1">
        <f>VLOOKUP(A21,[1]Charges!$A$1:$L$60,10,FALSE)</f>
        <v>15</v>
      </c>
      <c r="J21" s="1">
        <f>VLOOKUP(A21,[1]Charges!$A$1:$L$60,12,FALSE)</f>
        <v>150</v>
      </c>
      <c r="K21" s="1" t="s">
        <v>119</v>
      </c>
    </row>
    <row r="22" spans="1:11" x14ac:dyDescent="0.25">
      <c r="A22" s="1">
        <v>524006</v>
      </c>
      <c r="B22" s="1" t="s">
        <v>14</v>
      </c>
      <c r="C22" s="1">
        <v>153277</v>
      </c>
      <c r="D22" s="1" t="s">
        <v>9</v>
      </c>
      <c r="E22" s="1" t="s">
        <v>9</v>
      </c>
      <c r="F22" s="1" t="s">
        <v>51</v>
      </c>
      <c r="G22" s="1" t="s">
        <v>12</v>
      </c>
      <c r="H22" s="1" t="s">
        <v>13</v>
      </c>
      <c r="I22" s="1">
        <f>VLOOKUP(A22,[1]Charges!$A$1:$L$60,10,FALSE)</f>
        <v>27.5</v>
      </c>
      <c r="J22" s="1">
        <f>VLOOKUP(A22,[1]Charges!$A$1:$L$60,12,FALSE)</f>
        <v>150</v>
      </c>
      <c r="K22" s="1" t="s">
        <v>123</v>
      </c>
    </row>
    <row r="23" spans="1:11" x14ac:dyDescent="0.25">
      <c r="A23" s="1">
        <v>524101</v>
      </c>
      <c r="B23" s="1" t="s">
        <v>16</v>
      </c>
      <c r="C23" s="1">
        <v>121662</v>
      </c>
      <c r="D23" s="1" t="s">
        <v>9</v>
      </c>
      <c r="E23" s="1" t="s">
        <v>9</v>
      </c>
      <c r="F23" s="1" t="s">
        <v>52</v>
      </c>
      <c r="G23" s="1" t="s">
        <v>19</v>
      </c>
      <c r="H23" s="1" t="s">
        <v>20</v>
      </c>
      <c r="I23" s="1">
        <v>150</v>
      </c>
      <c r="J23" s="1">
        <v>250</v>
      </c>
      <c r="K23" s="1" t="s">
        <v>123</v>
      </c>
    </row>
    <row r="24" spans="1:11" x14ac:dyDescent="0.25">
      <c r="A24" s="1">
        <v>524102</v>
      </c>
      <c r="B24" s="1" t="s">
        <v>16</v>
      </c>
      <c r="C24" s="1">
        <v>121662</v>
      </c>
      <c r="D24" s="1" t="s">
        <v>9</v>
      </c>
      <c r="E24" s="1" t="s">
        <v>9</v>
      </c>
      <c r="F24" s="1" t="s">
        <v>53</v>
      </c>
      <c r="G24" s="1" t="s">
        <v>19</v>
      </c>
      <c r="H24" s="1" t="s">
        <v>20</v>
      </c>
      <c r="I24" s="1">
        <v>150</v>
      </c>
      <c r="J24" s="1">
        <v>250</v>
      </c>
      <c r="K24" s="1" t="s">
        <v>123</v>
      </c>
    </row>
    <row r="25" spans="1:11" x14ac:dyDescent="0.25">
      <c r="A25" s="1">
        <v>524119</v>
      </c>
      <c r="B25" s="1" t="s">
        <v>16</v>
      </c>
      <c r="C25" s="1">
        <v>121662</v>
      </c>
      <c r="D25" s="1" t="s">
        <v>9</v>
      </c>
      <c r="E25" s="1" t="s">
        <v>9</v>
      </c>
      <c r="F25" s="1" t="s">
        <v>54</v>
      </c>
      <c r="G25" s="1" t="s">
        <v>19</v>
      </c>
      <c r="H25" s="1" t="s">
        <v>20</v>
      </c>
      <c r="I25" s="1">
        <v>150</v>
      </c>
      <c r="J25" s="1">
        <v>250</v>
      </c>
      <c r="K25" s="1" t="s">
        <v>123</v>
      </c>
    </row>
    <row r="26" spans="1:11" x14ac:dyDescent="0.25">
      <c r="A26" s="1">
        <v>524120</v>
      </c>
      <c r="B26" s="1" t="s">
        <v>16</v>
      </c>
      <c r="C26" s="1">
        <v>121662</v>
      </c>
      <c r="D26" s="1" t="s">
        <v>9</v>
      </c>
      <c r="E26" s="1" t="s">
        <v>9</v>
      </c>
      <c r="F26" s="1" t="s">
        <v>55</v>
      </c>
      <c r="G26" s="1" t="s">
        <v>19</v>
      </c>
      <c r="H26" s="1" t="s">
        <v>20</v>
      </c>
      <c r="I26" s="1">
        <v>150</v>
      </c>
      <c r="J26" s="1">
        <v>250</v>
      </c>
      <c r="K26" s="1" t="s">
        <v>123</v>
      </c>
    </row>
    <row r="27" spans="1:11" x14ac:dyDescent="0.25">
      <c r="A27" s="1">
        <v>524121</v>
      </c>
      <c r="B27" s="1" t="s">
        <v>16</v>
      </c>
      <c r="C27" s="1">
        <v>121662</v>
      </c>
      <c r="D27" s="1" t="s">
        <v>9</v>
      </c>
      <c r="E27" s="1" t="s">
        <v>9</v>
      </c>
      <c r="F27" s="1" t="s">
        <v>56</v>
      </c>
      <c r="G27" s="1" t="s">
        <v>19</v>
      </c>
      <c r="H27" s="1" t="s">
        <v>20</v>
      </c>
      <c r="I27" s="1">
        <v>150</v>
      </c>
      <c r="J27" s="1">
        <v>250</v>
      </c>
      <c r="K27" s="1" t="s">
        <v>123</v>
      </c>
    </row>
    <row r="28" spans="1:11" x14ac:dyDescent="0.25">
      <c r="A28" s="1">
        <v>524123</v>
      </c>
      <c r="B28" s="1" t="s">
        <v>16</v>
      </c>
      <c r="C28" s="1">
        <v>121662</v>
      </c>
      <c r="D28" s="1" t="s">
        <v>9</v>
      </c>
      <c r="E28" s="1" t="s">
        <v>9</v>
      </c>
      <c r="F28" s="1" t="s">
        <v>57</v>
      </c>
      <c r="G28" s="1" t="s">
        <v>19</v>
      </c>
      <c r="H28" s="1" t="s">
        <v>20</v>
      </c>
      <c r="I28" s="1">
        <v>150</v>
      </c>
      <c r="J28" s="1">
        <v>250</v>
      </c>
      <c r="K28" s="1" t="s">
        <v>123</v>
      </c>
    </row>
    <row r="29" spans="1:11" x14ac:dyDescent="0.25">
      <c r="A29" s="1">
        <v>524124</v>
      </c>
      <c r="B29" s="1" t="s">
        <v>16</v>
      </c>
      <c r="C29" s="1">
        <v>121662</v>
      </c>
      <c r="D29" s="1" t="s">
        <v>9</v>
      </c>
      <c r="E29" s="1" t="s">
        <v>9</v>
      </c>
      <c r="F29" s="1" t="s">
        <v>58</v>
      </c>
      <c r="G29" s="1" t="s">
        <v>19</v>
      </c>
      <c r="H29" s="1" t="s">
        <v>20</v>
      </c>
      <c r="I29" s="1">
        <v>150</v>
      </c>
      <c r="J29" s="1">
        <v>250</v>
      </c>
      <c r="K29" s="1" t="s">
        <v>123</v>
      </c>
    </row>
    <row r="30" spans="1:11" x14ac:dyDescent="0.25">
      <c r="A30" s="1">
        <v>524127</v>
      </c>
      <c r="B30" s="1" t="s">
        <v>16</v>
      </c>
      <c r="C30" s="1">
        <v>121662</v>
      </c>
      <c r="D30" s="1" t="s">
        <v>9</v>
      </c>
      <c r="E30" s="1" t="s">
        <v>9</v>
      </c>
      <c r="F30" s="1" t="s">
        <v>59</v>
      </c>
      <c r="G30" s="1" t="s">
        <v>19</v>
      </c>
      <c r="H30" s="1" t="s">
        <v>20</v>
      </c>
      <c r="I30" s="1">
        <v>150</v>
      </c>
      <c r="J30" s="1">
        <v>250</v>
      </c>
      <c r="K30" s="1" t="s">
        <v>123</v>
      </c>
    </row>
    <row r="31" spans="1:11" x14ac:dyDescent="0.25">
      <c r="A31" s="1">
        <v>524129</v>
      </c>
      <c r="B31" s="1" t="s">
        <v>16</v>
      </c>
      <c r="C31" s="1">
        <v>121662</v>
      </c>
      <c r="D31" s="1" t="s">
        <v>9</v>
      </c>
      <c r="E31" s="1" t="s">
        <v>9</v>
      </c>
      <c r="F31" s="1" t="s">
        <v>60</v>
      </c>
      <c r="G31" s="1" t="s">
        <v>19</v>
      </c>
      <c r="H31" s="1" t="s">
        <v>20</v>
      </c>
      <c r="I31" s="1">
        <v>150</v>
      </c>
      <c r="J31" s="1">
        <v>250</v>
      </c>
      <c r="K31" s="1" t="s">
        <v>123</v>
      </c>
    </row>
    <row r="32" spans="1:11" x14ac:dyDescent="0.25">
      <c r="A32" s="1">
        <v>524131</v>
      </c>
      <c r="B32" s="1" t="s">
        <v>16</v>
      </c>
      <c r="C32" s="1">
        <v>121662</v>
      </c>
      <c r="D32" s="1" t="s">
        <v>9</v>
      </c>
      <c r="E32" s="1" t="s">
        <v>9</v>
      </c>
      <c r="F32" s="1" t="s">
        <v>61</v>
      </c>
      <c r="G32" s="1" t="s">
        <v>19</v>
      </c>
      <c r="H32" s="1" t="s">
        <v>20</v>
      </c>
      <c r="I32" s="1">
        <v>150</v>
      </c>
      <c r="J32" s="1">
        <v>250</v>
      </c>
      <c r="K32" s="1" t="s">
        <v>123</v>
      </c>
    </row>
    <row r="33" spans="1:11" x14ac:dyDescent="0.25">
      <c r="A33" s="1">
        <v>524132</v>
      </c>
      <c r="B33" s="1" t="s">
        <v>16</v>
      </c>
      <c r="C33" s="1">
        <v>121662</v>
      </c>
      <c r="D33" s="1" t="s">
        <v>9</v>
      </c>
      <c r="E33" s="1" t="s">
        <v>9</v>
      </c>
      <c r="F33" s="1" t="s">
        <v>62</v>
      </c>
      <c r="G33" s="1" t="s">
        <v>19</v>
      </c>
      <c r="H33" s="1" t="s">
        <v>20</v>
      </c>
      <c r="I33" s="1">
        <v>150</v>
      </c>
      <c r="J33" s="1">
        <v>250</v>
      </c>
      <c r="K33" s="1" t="s">
        <v>123</v>
      </c>
    </row>
    <row r="34" spans="1:11" x14ac:dyDescent="0.25">
      <c r="A34" s="1">
        <v>524137</v>
      </c>
      <c r="B34" s="1" t="s">
        <v>14</v>
      </c>
      <c r="C34" s="1">
        <v>152401</v>
      </c>
      <c r="D34" s="1" t="s">
        <v>9</v>
      </c>
      <c r="E34" s="1" t="s">
        <v>9</v>
      </c>
      <c r="F34" s="1" t="s">
        <v>63</v>
      </c>
      <c r="G34" s="1" t="s">
        <v>12</v>
      </c>
      <c r="H34" s="1" t="s">
        <v>13</v>
      </c>
      <c r="I34" s="1">
        <f>VLOOKUP(A34,[1]Charges!$A$1:$L$60,10,FALSE)</f>
        <v>30</v>
      </c>
      <c r="J34" s="1">
        <f>VLOOKUP(A34,[1]Charges!$A$1:$L$60,12,FALSE)</f>
        <v>150</v>
      </c>
      <c r="K34" s="1" t="s">
        <v>123</v>
      </c>
    </row>
    <row r="35" spans="1:11" x14ac:dyDescent="0.25">
      <c r="A35" s="1">
        <v>524142</v>
      </c>
      <c r="B35" s="1" t="s">
        <v>14</v>
      </c>
      <c r="C35" s="1">
        <v>152401</v>
      </c>
      <c r="D35" s="1" t="s">
        <v>9</v>
      </c>
      <c r="E35" s="1" t="s">
        <v>9</v>
      </c>
      <c r="F35" s="1" t="s">
        <v>64</v>
      </c>
      <c r="G35" s="1" t="s">
        <v>19</v>
      </c>
      <c r="H35" s="1" t="s">
        <v>13</v>
      </c>
      <c r="I35" s="1">
        <f>VLOOKUP(A35,[1]Charges!$A$1:$L$60,10,FALSE)</f>
        <v>76.5</v>
      </c>
      <c r="J35" s="1">
        <f>VLOOKUP(A35,[1]Charges!$A$1:$L$60,12,FALSE)</f>
        <v>350</v>
      </c>
      <c r="K35" s="1" t="s">
        <v>123</v>
      </c>
    </row>
    <row r="36" spans="1:11" x14ac:dyDescent="0.25">
      <c r="A36" s="1">
        <v>524203</v>
      </c>
      <c r="B36" s="1" t="s">
        <v>14</v>
      </c>
      <c r="C36" s="1">
        <v>152401</v>
      </c>
      <c r="D36" s="1" t="s">
        <v>9</v>
      </c>
      <c r="E36" s="1" t="s">
        <v>9</v>
      </c>
      <c r="F36" s="1" t="s">
        <v>65</v>
      </c>
      <c r="G36" s="1" t="s">
        <v>19</v>
      </c>
      <c r="H36" s="1" t="s">
        <v>13</v>
      </c>
      <c r="I36" s="1">
        <f>VLOOKUP(A36,[1]Charges!$A$1:$L$60,10,FALSE)</f>
        <v>85</v>
      </c>
      <c r="J36" s="1">
        <f>VLOOKUP(A36,[1]Charges!$A$1:$L$60,12,FALSE)</f>
        <v>350</v>
      </c>
      <c r="K36" s="1" t="s">
        <v>123</v>
      </c>
    </row>
    <row r="37" spans="1:11" x14ac:dyDescent="0.25">
      <c r="A37" s="1">
        <v>524221</v>
      </c>
      <c r="B37" s="1" t="s">
        <v>14</v>
      </c>
      <c r="C37" s="1">
        <v>152401</v>
      </c>
      <c r="D37" s="1" t="s">
        <v>9</v>
      </c>
      <c r="E37" s="1" t="s">
        <v>9</v>
      </c>
      <c r="F37" s="1" t="s">
        <v>66</v>
      </c>
      <c r="G37" s="1" t="s">
        <v>19</v>
      </c>
      <c r="H37" s="1" t="s">
        <v>13</v>
      </c>
      <c r="I37" s="1">
        <f>VLOOKUP(A37,[1]Charges!$A$1:$L$60,10,FALSE)</f>
        <v>115</v>
      </c>
      <c r="J37" s="1">
        <f>VLOOKUP(A37,[1]Charges!$A$1:$L$60,12,FALSE)</f>
        <v>350</v>
      </c>
      <c r="K37" s="1" t="s">
        <v>123</v>
      </c>
    </row>
    <row r="38" spans="1:11" x14ac:dyDescent="0.25">
      <c r="A38" s="1">
        <v>524222</v>
      </c>
      <c r="B38" s="1" t="s">
        <v>8</v>
      </c>
      <c r="C38" s="1">
        <v>153277</v>
      </c>
      <c r="D38" s="1" t="s">
        <v>9</v>
      </c>
      <c r="E38" s="1" t="s">
        <v>9</v>
      </c>
      <c r="F38" s="1" t="s">
        <v>67</v>
      </c>
      <c r="G38" s="1" t="s">
        <v>19</v>
      </c>
      <c r="H38" s="1" t="s">
        <v>13</v>
      </c>
      <c r="I38" s="1">
        <f>VLOOKUP(A38,[1]Charges!$A$1:$L$60,10,FALSE)</f>
        <v>110</v>
      </c>
      <c r="J38" s="1">
        <v>250</v>
      </c>
      <c r="K38" s="1" t="s">
        <v>120</v>
      </c>
    </row>
    <row r="39" spans="1:11" x14ac:dyDescent="0.25">
      <c r="A39" s="1">
        <v>524223</v>
      </c>
      <c r="B39" s="1" t="s">
        <v>14</v>
      </c>
      <c r="C39" s="1">
        <v>153277</v>
      </c>
      <c r="D39" s="1" t="s">
        <v>9</v>
      </c>
      <c r="E39" s="1" t="s">
        <v>9</v>
      </c>
      <c r="F39" s="1" t="s">
        <v>68</v>
      </c>
      <c r="G39" s="1" t="s">
        <v>19</v>
      </c>
      <c r="H39" s="1" t="s">
        <v>13</v>
      </c>
      <c r="I39" s="1">
        <f>VLOOKUP(A39,[1]Charges!$A$1:$L$60,10,FALSE)</f>
        <v>80</v>
      </c>
      <c r="J39" s="1">
        <f>VLOOKUP(A39,[1]Charges!$A$1:$L$60,12,FALSE)</f>
        <v>350</v>
      </c>
      <c r="K39" s="1" t="s">
        <v>123</v>
      </c>
    </row>
    <row r="40" spans="1:11" x14ac:dyDescent="0.25">
      <c r="A40" s="1">
        <v>524224</v>
      </c>
      <c r="B40" s="1" t="s">
        <v>8</v>
      </c>
      <c r="C40" s="1">
        <v>153277</v>
      </c>
      <c r="D40" s="1" t="s">
        <v>9</v>
      </c>
      <c r="E40" s="1" t="s">
        <v>9</v>
      </c>
      <c r="F40" s="1" t="s">
        <v>69</v>
      </c>
      <c r="G40" s="1" t="s">
        <v>19</v>
      </c>
      <c r="H40" s="1" t="s">
        <v>13</v>
      </c>
      <c r="I40" s="1">
        <f>VLOOKUP(A40,[1]Charges!$A$1:$L$60,10,FALSE)</f>
        <v>95</v>
      </c>
      <c r="J40" s="1">
        <v>250</v>
      </c>
      <c r="K40" s="1" t="s">
        <v>120</v>
      </c>
    </row>
    <row r="41" spans="1:11" x14ac:dyDescent="0.25">
      <c r="A41" s="1">
        <v>524226</v>
      </c>
      <c r="B41" s="1" t="s">
        <v>8</v>
      </c>
      <c r="C41" s="1">
        <v>153277</v>
      </c>
      <c r="D41" s="1" t="s">
        <v>9</v>
      </c>
      <c r="E41" s="1" t="s">
        <v>9</v>
      </c>
      <c r="F41" s="1" t="s">
        <v>70</v>
      </c>
      <c r="G41" s="1" t="s">
        <v>19</v>
      </c>
      <c r="H41" s="1" t="s">
        <v>15</v>
      </c>
      <c r="I41" s="1">
        <f>VLOOKUP(A41,[1]Charges!$A$1:$L$60,10,FALSE)</f>
        <v>140</v>
      </c>
      <c r="J41" s="1">
        <v>250</v>
      </c>
      <c r="K41" s="1" t="s">
        <v>120</v>
      </c>
    </row>
    <row r="42" spans="1:11" x14ac:dyDescent="0.25">
      <c r="A42" s="1">
        <v>524227</v>
      </c>
      <c r="B42" s="1" t="s">
        <v>14</v>
      </c>
      <c r="C42" s="1">
        <v>152401</v>
      </c>
      <c r="D42" s="1" t="s">
        <v>9</v>
      </c>
      <c r="E42" s="1" t="s">
        <v>9</v>
      </c>
      <c r="F42" s="1" t="s">
        <v>71</v>
      </c>
      <c r="G42" s="1" t="s">
        <v>19</v>
      </c>
      <c r="H42" s="1" t="s">
        <v>13</v>
      </c>
      <c r="I42" s="1">
        <f>VLOOKUP(A42,[1]Charges!$A$1:$L$60,10,FALSE)</f>
        <v>145</v>
      </c>
      <c r="J42" s="1">
        <f>VLOOKUP(A42,[1]Charges!$A$1:$L$60,12,FALSE)</f>
        <v>350</v>
      </c>
      <c r="K42" s="1" t="s">
        <v>123</v>
      </c>
    </row>
    <row r="43" spans="1:11" x14ac:dyDescent="0.25">
      <c r="A43" s="1">
        <v>524228</v>
      </c>
      <c r="B43" s="1" t="s">
        <v>14</v>
      </c>
      <c r="C43" s="1">
        <v>153277</v>
      </c>
      <c r="D43" s="1" t="s">
        <v>9</v>
      </c>
      <c r="E43" s="1" t="s">
        <v>9</v>
      </c>
      <c r="F43" s="1" t="s">
        <v>51</v>
      </c>
      <c r="G43" s="1" t="s">
        <v>19</v>
      </c>
      <c r="H43" s="1" t="s">
        <v>13</v>
      </c>
      <c r="I43" s="1">
        <f>VLOOKUP(A43,[1]Charges!$A$1:$L$60,10,FALSE)</f>
        <v>100</v>
      </c>
      <c r="J43" s="1">
        <f>VLOOKUP(A43,[1]Charges!$A$1:$L$60,12,FALSE)</f>
        <v>350</v>
      </c>
      <c r="K43" s="1" t="s">
        <v>123</v>
      </c>
    </row>
    <row r="44" spans="1:11" x14ac:dyDescent="0.25">
      <c r="A44" s="1">
        <v>524234</v>
      </c>
      <c r="B44" s="1" t="s">
        <v>8</v>
      </c>
      <c r="C44" s="1">
        <v>153277</v>
      </c>
      <c r="D44" s="1" t="s">
        <v>9</v>
      </c>
      <c r="E44" s="1" t="s">
        <v>9</v>
      </c>
      <c r="F44" s="1" t="s">
        <v>72</v>
      </c>
      <c r="G44" s="1" t="s">
        <v>19</v>
      </c>
      <c r="H44" s="1" t="s">
        <v>13</v>
      </c>
      <c r="I44" s="1">
        <f>VLOOKUP(A44,[1]Charges!$A$1:$L$60,10,FALSE)</f>
        <v>100</v>
      </c>
      <c r="J44" s="1">
        <v>250</v>
      </c>
      <c r="K44" s="1" t="s">
        <v>120</v>
      </c>
    </row>
    <row r="45" spans="1:11" x14ac:dyDescent="0.25">
      <c r="A45" s="1">
        <v>524236</v>
      </c>
      <c r="B45" s="1" t="s">
        <v>8</v>
      </c>
      <c r="C45" s="1">
        <v>153277</v>
      </c>
      <c r="D45" s="1" t="s">
        <v>9</v>
      </c>
      <c r="E45" s="1" t="s">
        <v>9</v>
      </c>
      <c r="F45" s="1" t="s">
        <v>73</v>
      </c>
      <c r="G45" s="1" t="s">
        <v>19</v>
      </c>
      <c r="H45" s="1" t="s">
        <v>13</v>
      </c>
      <c r="I45" s="1">
        <f>VLOOKUP(A45,[1]Charges!$A$1:$L$60,10,FALSE)</f>
        <v>145</v>
      </c>
      <c r="J45" s="1">
        <v>250</v>
      </c>
      <c r="K45" s="1" t="s">
        <v>120</v>
      </c>
    </row>
    <row r="46" spans="1:11" x14ac:dyDescent="0.25">
      <c r="A46" s="1">
        <v>524302</v>
      </c>
      <c r="B46" s="1" t="s">
        <v>8</v>
      </c>
      <c r="C46" s="1">
        <v>153277</v>
      </c>
      <c r="D46" s="1" t="s">
        <v>9</v>
      </c>
      <c r="E46" s="1" t="s">
        <v>9</v>
      </c>
      <c r="F46" s="1" t="s">
        <v>74</v>
      </c>
      <c r="G46" s="1" t="s">
        <v>19</v>
      </c>
      <c r="H46" s="1" t="s">
        <v>13</v>
      </c>
      <c r="I46" s="1">
        <f>VLOOKUP(A46,[1]Charges!$A$1:$L$60,10,FALSE)</f>
        <v>107.5</v>
      </c>
      <c r="J46" s="1">
        <v>250</v>
      </c>
      <c r="K46" s="1" t="s">
        <v>120</v>
      </c>
    </row>
    <row r="47" spans="1:11" x14ac:dyDescent="0.25">
      <c r="A47" s="1">
        <v>524303</v>
      </c>
      <c r="B47" s="1" t="s">
        <v>8</v>
      </c>
      <c r="C47" s="1">
        <v>153277</v>
      </c>
      <c r="D47" s="1" t="s">
        <v>9</v>
      </c>
      <c r="E47" s="1" t="s">
        <v>9</v>
      </c>
      <c r="F47" s="1" t="s">
        <v>75</v>
      </c>
      <c r="G47" s="1" t="s">
        <v>19</v>
      </c>
      <c r="H47" s="1" t="s">
        <v>13</v>
      </c>
      <c r="I47" s="1">
        <f>VLOOKUP(A47,[1]Charges!$A$1:$L$60,10,FALSE)</f>
        <v>95</v>
      </c>
      <c r="J47" s="1">
        <v>250</v>
      </c>
      <c r="K47" s="1" t="s">
        <v>120</v>
      </c>
    </row>
    <row r="48" spans="1:11" x14ac:dyDescent="0.25">
      <c r="A48" s="1">
        <v>524304</v>
      </c>
      <c r="B48" s="1" t="s">
        <v>8</v>
      </c>
      <c r="C48" s="1">
        <v>153277</v>
      </c>
      <c r="D48" s="1" t="s">
        <v>9</v>
      </c>
      <c r="E48" s="1" t="s">
        <v>9</v>
      </c>
      <c r="F48" s="1" t="s">
        <v>76</v>
      </c>
      <c r="G48" s="1" t="s">
        <v>19</v>
      </c>
      <c r="H48" s="1" t="s">
        <v>13</v>
      </c>
      <c r="I48" s="1">
        <f>VLOOKUP(A48,[1]Charges!$A$1:$L$60,10,FALSE)</f>
        <v>80</v>
      </c>
      <c r="J48" s="1">
        <v>250</v>
      </c>
      <c r="K48" s="1" t="s">
        <v>120</v>
      </c>
    </row>
    <row r="49" spans="1:11" x14ac:dyDescent="0.25">
      <c r="A49" s="1">
        <v>524306</v>
      </c>
      <c r="B49" s="1" t="s">
        <v>14</v>
      </c>
      <c r="C49" s="1">
        <v>153277</v>
      </c>
      <c r="D49" s="1" t="s">
        <v>9</v>
      </c>
      <c r="E49" s="1" t="s">
        <v>9</v>
      </c>
      <c r="F49" s="1" t="s">
        <v>77</v>
      </c>
      <c r="G49" s="1" t="s">
        <v>12</v>
      </c>
      <c r="H49" s="1" t="s">
        <v>13</v>
      </c>
      <c r="I49" s="1">
        <f>VLOOKUP(A49,[1]Charges!$A$1:$L$60,10,FALSE)</f>
        <v>27.5</v>
      </c>
      <c r="J49" s="1">
        <f>VLOOKUP(A49,[1]Charges!$A$1:$L$60,12,FALSE)</f>
        <v>150</v>
      </c>
      <c r="K49" s="1" t="s">
        <v>123</v>
      </c>
    </row>
    <row r="50" spans="1:11" x14ac:dyDescent="0.25">
      <c r="A50" s="1">
        <v>524307</v>
      </c>
      <c r="B50" s="1" t="s">
        <v>8</v>
      </c>
      <c r="C50" s="1">
        <v>153277</v>
      </c>
      <c r="D50" s="1" t="s">
        <v>9</v>
      </c>
      <c r="E50" s="1" t="s">
        <v>9</v>
      </c>
      <c r="F50" s="1" t="s">
        <v>78</v>
      </c>
      <c r="G50" s="1" t="s">
        <v>19</v>
      </c>
      <c r="H50" s="1" t="s">
        <v>13</v>
      </c>
      <c r="I50" s="1">
        <f>VLOOKUP(A50,[1]Charges!$A$1:$L$60,10,FALSE)</f>
        <v>100</v>
      </c>
      <c r="J50" s="1">
        <v>250</v>
      </c>
      <c r="K50" s="1" t="s">
        <v>120</v>
      </c>
    </row>
    <row r="51" spans="1:11" x14ac:dyDescent="0.25">
      <c r="A51" s="1">
        <v>524309</v>
      </c>
      <c r="B51" s="1" t="s">
        <v>8</v>
      </c>
      <c r="C51" s="1">
        <v>153277</v>
      </c>
      <c r="D51" s="1" t="s">
        <v>9</v>
      </c>
      <c r="E51" s="1" t="s">
        <v>9</v>
      </c>
      <c r="F51" s="1" t="s">
        <v>79</v>
      </c>
      <c r="G51" s="1" t="s">
        <v>19</v>
      </c>
      <c r="H51" s="1" t="s">
        <v>13</v>
      </c>
      <c r="I51" s="1">
        <f>VLOOKUP(A51,[1]Charges!$A$1:$L$60,10,FALSE)</f>
        <v>51.5</v>
      </c>
      <c r="J51" s="1">
        <f>VLOOKUP(A51,[1]Charges!$A$1:$L$60,12,FALSE)</f>
        <v>250</v>
      </c>
      <c r="K51" s="1" t="s">
        <v>120</v>
      </c>
    </row>
    <row r="52" spans="1:11" x14ac:dyDescent="0.25">
      <c r="A52" s="1">
        <v>524311</v>
      </c>
      <c r="B52" s="1" t="s">
        <v>14</v>
      </c>
      <c r="C52" s="1">
        <v>152401</v>
      </c>
      <c r="D52" s="1" t="s">
        <v>9</v>
      </c>
      <c r="E52" s="1" t="s">
        <v>9</v>
      </c>
      <c r="F52" s="1" t="s">
        <v>80</v>
      </c>
      <c r="G52" s="1" t="s">
        <v>19</v>
      </c>
      <c r="H52" s="1" t="s">
        <v>13</v>
      </c>
      <c r="I52" s="1">
        <f>VLOOKUP(A52,[1]Charges!$A$1:$L$60,10,FALSE)</f>
        <v>26.5</v>
      </c>
      <c r="J52" s="1">
        <f>VLOOKUP(A52,[1]Charges!$A$1:$L$60,12,FALSE)</f>
        <v>150</v>
      </c>
      <c r="K52" s="1" t="s">
        <v>123</v>
      </c>
    </row>
    <row r="53" spans="1:11" x14ac:dyDescent="0.25">
      <c r="A53" s="1">
        <v>524312</v>
      </c>
      <c r="B53" s="1" t="s">
        <v>8</v>
      </c>
      <c r="C53" s="1">
        <v>153277</v>
      </c>
      <c r="D53" s="1" t="s">
        <v>9</v>
      </c>
      <c r="E53" s="1" t="s">
        <v>9</v>
      </c>
      <c r="F53" s="1" t="s">
        <v>81</v>
      </c>
      <c r="G53" s="1" t="s">
        <v>19</v>
      </c>
      <c r="H53" s="1" t="s">
        <v>13</v>
      </c>
      <c r="I53" s="1">
        <f>VLOOKUP(A53,[1]Charges!$A$1:$L$60,10,FALSE)</f>
        <v>115</v>
      </c>
      <c r="J53" s="1">
        <v>250</v>
      </c>
      <c r="K53" s="1" t="s">
        <v>120</v>
      </c>
    </row>
    <row r="54" spans="1:11" x14ac:dyDescent="0.25">
      <c r="A54" s="1">
        <v>524315</v>
      </c>
      <c r="B54" s="1" t="s">
        <v>14</v>
      </c>
      <c r="C54" s="1">
        <v>152401</v>
      </c>
      <c r="D54" s="1" t="s">
        <v>9</v>
      </c>
      <c r="E54" s="1" t="s">
        <v>9</v>
      </c>
      <c r="F54" s="1" t="s">
        <v>82</v>
      </c>
      <c r="G54" s="1" t="s">
        <v>19</v>
      </c>
      <c r="H54" s="1" t="s">
        <v>13</v>
      </c>
      <c r="I54" s="1">
        <f>VLOOKUP(A54,[1]Charges!$A$1:$L$60,10,FALSE)</f>
        <v>55</v>
      </c>
      <c r="J54" s="1">
        <f>VLOOKUP(A54,[1]Charges!$A$1:$L$60,12,FALSE)</f>
        <v>250</v>
      </c>
      <c r="K54" s="1" t="s">
        <v>123</v>
      </c>
    </row>
    <row r="55" spans="1:11" x14ac:dyDescent="0.25">
      <c r="A55" s="1">
        <v>524317</v>
      </c>
      <c r="B55" s="1" t="s">
        <v>8</v>
      </c>
      <c r="C55" s="1">
        <v>153277</v>
      </c>
      <c r="D55" s="1" t="s">
        <v>9</v>
      </c>
      <c r="E55" s="1" t="s">
        <v>9</v>
      </c>
      <c r="F55" s="1" t="s">
        <v>83</v>
      </c>
      <c r="G55" s="1" t="s">
        <v>12</v>
      </c>
      <c r="H55" s="1" t="s">
        <v>13</v>
      </c>
      <c r="I55" s="1">
        <f>VLOOKUP(A55,[1]Charges!$A$1:$L$60,10,FALSE)</f>
        <v>40</v>
      </c>
      <c r="J55" s="1">
        <f>VLOOKUP(A55,[1]Charges!$A$1:$L$60,12,FALSE)</f>
        <v>150</v>
      </c>
      <c r="K55" s="1" t="s">
        <v>122</v>
      </c>
    </row>
    <row r="56" spans="1:11" x14ac:dyDescent="0.25">
      <c r="A56" s="1">
        <v>524322</v>
      </c>
      <c r="B56" s="1" t="s">
        <v>8</v>
      </c>
      <c r="C56" s="1">
        <v>153277</v>
      </c>
      <c r="D56" s="1" t="s">
        <v>9</v>
      </c>
      <c r="E56" s="1" t="s">
        <v>9</v>
      </c>
      <c r="F56" s="1" t="s">
        <v>84</v>
      </c>
      <c r="G56" s="1" t="s">
        <v>19</v>
      </c>
      <c r="H56" s="1" t="s">
        <v>13</v>
      </c>
      <c r="I56" s="1">
        <f>VLOOKUP(A56,[1]Charges!$A$1:$L$60,10,FALSE)</f>
        <v>80</v>
      </c>
      <c r="J56" s="1">
        <v>250</v>
      </c>
      <c r="K56" s="1" t="s">
        <v>120</v>
      </c>
    </row>
    <row r="57" spans="1:11" x14ac:dyDescent="0.25">
      <c r="A57" s="1">
        <v>524323</v>
      </c>
      <c r="B57" s="1" t="s">
        <v>14</v>
      </c>
      <c r="C57" s="1">
        <v>152401</v>
      </c>
      <c r="D57" s="1" t="s">
        <v>9</v>
      </c>
      <c r="E57" s="1" t="s">
        <v>9</v>
      </c>
      <c r="F57" s="1" t="s">
        <v>85</v>
      </c>
      <c r="G57" s="1" t="s">
        <v>19</v>
      </c>
      <c r="H57" s="1" t="s">
        <v>13</v>
      </c>
      <c r="I57" s="1">
        <f>VLOOKUP(A57,[1]Charges!$A$1:$L$60,10,FALSE)</f>
        <v>35</v>
      </c>
      <c r="J57" s="1">
        <f>VLOOKUP(A57,[1]Charges!$A$1:$L$60,12,FALSE)</f>
        <v>150</v>
      </c>
      <c r="K57" s="1" t="s">
        <v>123</v>
      </c>
    </row>
    <row r="58" spans="1:11" x14ac:dyDescent="0.25">
      <c r="A58" s="1">
        <v>524324</v>
      </c>
      <c r="B58" s="1" t="s">
        <v>14</v>
      </c>
      <c r="C58" s="1">
        <v>153277</v>
      </c>
      <c r="D58" s="1" t="s">
        <v>9</v>
      </c>
      <c r="E58" s="1" t="s">
        <v>9</v>
      </c>
      <c r="F58" s="1" t="s">
        <v>86</v>
      </c>
      <c r="G58" s="1" t="s">
        <v>19</v>
      </c>
      <c r="H58" s="1" t="s">
        <v>13</v>
      </c>
      <c r="I58" s="1">
        <f>VLOOKUP(A58,[1]Charges!$A$1:$L$60,10,FALSE)</f>
        <v>125</v>
      </c>
      <c r="J58" s="1">
        <f>VLOOKUP(A58,[1]Charges!$A$1:$L$60,12,FALSE)</f>
        <v>350</v>
      </c>
      <c r="K58" s="1" t="s">
        <v>123</v>
      </c>
    </row>
    <row r="59" spans="1:11" x14ac:dyDescent="0.25">
      <c r="A59" s="1">
        <v>524333</v>
      </c>
      <c r="B59" s="1" t="s">
        <v>8</v>
      </c>
      <c r="C59" s="1">
        <v>153277</v>
      </c>
      <c r="D59" s="1" t="s">
        <v>9</v>
      </c>
      <c r="E59" s="1" t="s">
        <v>9</v>
      </c>
      <c r="F59" s="1" t="s">
        <v>87</v>
      </c>
      <c r="G59" s="1" t="s">
        <v>19</v>
      </c>
      <c r="H59" s="1" t="s">
        <v>13</v>
      </c>
      <c r="I59" s="1">
        <f>VLOOKUP(A59,[1]Charges!$A$1:$L$60,10,FALSE)</f>
        <v>53.5</v>
      </c>
      <c r="J59" s="1">
        <f>VLOOKUP(A59,[1]Charges!$A$1:$L$60,12,FALSE)</f>
        <v>250</v>
      </c>
      <c r="K59" s="1" t="s">
        <v>122</v>
      </c>
    </row>
    <row r="60" spans="1:11" x14ac:dyDescent="0.25">
      <c r="A60" s="1">
        <v>524343</v>
      </c>
      <c r="B60" s="1" t="s">
        <v>8</v>
      </c>
      <c r="C60" s="1">
        <v>153277</v>
      </c>
      <c r="D60" s="1" t="s">
        <v>9</v>
      </c>
      <c r="E60" s="1" t="s">
        <v>9</v>
      </c>
      <c r="F60" s="1" t="s">
        <v>88</v>
      </c>
      <c r="G60" s="1" t="s">
        <v>19</v>
      </c>
      <c r="H60" s="1" t="s">
        <v>13</v>
      </c>
      <c r="I60" s="1">
        <f>VLOOKUP(A60,[1]Charges!$A$1:$L$60,10,FALSE)</f>
        <v>85</v>
      </c>
      <c r="J60" s="1">
        <v>250</v>
      </c>
      <c r="K60" s="1" t="s">
        <v>122</v>
      </c>
    </row>
    <row r="61" spans="1:11" x14ac:dyDescent="0.25">
      <c r="A61" s="1">
        <v>524345</v>
      </c>
      <c r="B61" s="1" t="s">
        <v>8</v>
      </c>
      <c r="C61" s="1">
        <v>153277</v>
      </c>
      <c r="D61" s="1" t="s">
        <v>9</v>
      </c>
      <c r="E61" s="1" t="s">
        <v>9</v>
      </c>
      <c r="F61" s="1" t="s">
        <v>89</v>
      </c>
      <c r="G61" s="1" t="s">
        <v>12</v>
      </c>
      <c r="H61" s="1" t="s">
        <v>13</v>
      </c>
      <c r="I61" s="1">
        <f>VLOOKUP(A61,[1]Charges!$A$1:$L$60,10,FALSE)</f>
        <v>55</v>
      </c>
      <c r="J61" s="1">
        <f>VLOOKUP(A61,[1]Charges!$A$1:$L$60,12,FALSE)</f>
        <v>250</v>
      </c>
      <c r="K61" s="1" t="s">
        <v>121</v>
      </c>
    </row>
    <row r="62" spans="1:11" x14ac:dyDescent="0.25">
      <c r="A62" s="1">
        <v>524346</v>
      </c>
      <c r="B62" s="1" t="s">
        <v>8</v>
      </c>
      <c r="C62" s="1">
        <v>153277</v>
      </c>
      <c r="D62" s="1" t="s">
        <v>9</v>
      </c>
      <c r="E62" s="1" t="s">
        <v>9</v>
      </c>
      <c r="F62" s="1" t="s">
        <v>90</v>
      </c>
      <c r="G62" s="1" t="s">
        <v>19</v>
      </c>
      <c r="H62" s="1" t="s">
        <v>13</v>
      </c>
      <c r="I62" s="1">
        <f>VLOOKUP(A62,[1]Charges!$A$1:$L$60,10,FALSE)</f>
        <v>52.5</v>
      </c>
      <c r="J62" s="1">
        <f>VLOOKUP(A62,[1]Charges!$A$1:$L$60,12,FALSE)</f>
        <v>250</v>
      </c>
      <c r="K62" s="1" t="s">
        <v>122</v>
      </c>
    </row>
    <row r="63" spans="1:11" x14ac:dyDescent="0.25">
      <c r="A63" s="1">
        <v>524366</v>
      </c>
      <c r="B63" s="1" t="s">
        <v>14</v>
      </c>
      <c r="C63" s="1">
        <v>152401</v>
      </c>
      <c r="D63" s="1" t="s">
        <v>9</v>
      </c>
      <c r="E63" s="1" t="s">
        <v>9</v>
      </c>
      <c r="F63" s="1" t="s">
        <v>91</v>
      </c>
      <c r="G63" s="1" t="s">
        <v>12</v>
      </c>
      <c r="H63" s="1" t="s">
        <v>13</v>
      </c>
      <c r="I63" s="1">
        <f>VLOOKUP(A63,[1]Charges!$A$1:$L$60,10,FALSE)</f>
        <v>35</v>
      </c>
      <c r="J63" s="1">
        <f>VLOOKUP(A63,[1]Charges!$A$1:$L$60,12,FALSE)</f>
        <v>150</v>
      </c>
      <c r="K63" s="1" t="s">
        <v>123</v>
      </c>
    </row>
    <row r="64" spans="1:11" x14ac:dyDescent="0.25">
      <c r="A64" s="1">
        <v>524401</v>
      </c>
      <c r="B64" s="1" t="s">
        <v>16</v>
      </c>
      <c r="C64" s="1">
        <v>121662</v>
      </c>
      <c r="D64" s="1" t="s">
        <v>9</v>
      </c>
      <c r="E64" s="1" t="s">
        <v>9</v>
      </c>
      <c r="F64" s="1" t="s">
        <v>92</v>
      </c>
      <c r="G64" s="1" t="s">
        <v>19</v>
      </c>
      <c r="H64" s="1" t="s">
        <v>13</v>
      </c>
      <c r="I64" s="1">
        <v>150</v>
      </c>
      <c r="J64" s="1">
        <v>250</v>
      </c>
      <c r="K64" s="1" t="s">
        <v>123</v>
      </c>
    </row>
    <row r="65" spans="1:11" x14ac:dyDescent="0.25">
      <c r="A65" s="1">
        <v>524402</v>
      </c>
      <c r="B65" s="1" t="s">
        <v>16</v>
      </c>
      <c r="C65" s="1">
        <v>121662</v>
      </c>
      <c r="D65" s="1" t="s">
        <v>9</v>
      </c>
      <c r="E65" s="1" t="s">
        <v>9</v>
      </c>
      <c r="F65" s="1" t="s">
        <v>93</v>
      </c>
      <c r="G65" s="1" t="s">
        <v>19</v>
      </c>
      <c r="H65" s="1" t="s">
        <v>20</v>
      </c>
      <c r="I65" s="1">
        <v>150</v>
      </c>
      <c r="J65" s="1">
        <v>250</v>
      </c>
      <c r="K65" s="1" t="s">
        <v>123</v>
      </c>
    </row>
    <row r="66" spans="1:11" x14ac:dyDescent="0.25">
      <c r="A66" s="1">
        <v>524404</v>
      </c>
      <c r="B66" s="1" t="s">
        <v>16</v>
      </c>
      <c r="C66" s="1">
        <v>121662</v>
      </c>
      <c r="D66" s="1" t="s">
        <v>9</v>
      </c>
      <c r="E66" s="1" t="s">
        <v>9</v>
      </c>
      <c r="F66" s="1" t="s">
        <v>94</v>
      </c>
      <c r="G66" s="1" t="s">
        <v>19</v>
      </c>
      <c r="H66" s="1" t="s">
        <v>20</v>
      </c>
      <c r="I66" s="1">
        <v>150</v>
      </c>
      <c r="J66" s="1">
        <v>250</v>
      </c>
      <c r="K66" s="1" t="s">
        <v>123</v>
      </c>
    </row>
    <row r="67" spans="1:11" x14ac:dyDescent="0.25">
      <c r="A67" s="1">
        <v>524405</v>
      </c>
      <c r="B67" s="1" t="s">
        <v>16</v>
      </c>
      <c r="C67" s="1">
        <v>121662</v>
      </c>
      <c r="D67" s="1" t="s">
        <v>9</v>
      </c>
      <c r="E67" s="1" t="s">
        <v>9</v>
      </c>
      <c r="F67" s="1" t="s">
        <v>95</v>
      </c>
      <c r="G67" s="1" t="s">
        <v>19</v>
      </c>
      <c r="H67" s="1" t="s">
        <v>20</v>
      </c>
      <c r="I67" s="1">
        <v>150</v>
      </c>
      <c r="J67" s="1">
        <v>250</v>
      </c>
      <c r="K67" s="1" t="s">
        <v>123</v>
      </c>
    </row>
    <row r="68" spans="1:11" x14ac:dyDescent="0.25">
      <c r="A68" s="1">
        <v>524407</v>
      </c>
      <c r="B68" s="1" t="s">
        <v>8</v>
      </c>
      <c r="C68" s="1">
        <v>153277</v>
      </c>
      <c r="D68" s="1" t="s">
        <v>9</v>
      </c>
      <c r="E68" s="1" t="s">
        <v>9</v>
      </c>
      <c r="F68" s="1" t="s">
        <v>96</v>
      </c>
      <c r="G68" s="1" t="s">
        <v>19</v>
      </c>
      <c r="H68" s="1" t="s">
        <v>15</v>
      </c>
      <c r="I68" s="1">
        <f>VLOOKUP(A68,[1]Charges!$A$1:$L$60,10,FALSE)</f>
        <v>76.5</v>
      </c>
      <c r="J68" s="1">
        <v>250</v>
      </c>
      <c r="K68" s="1" t="s">
        <v>120</v>
      </c>
    </row>
    <row r="69" spans="1:11" x14ac:dyDescent="0.25">
      <c r="A69" s="1">
        <v>524408</v>
      </c>
      <c r="B69" s="1" t="s">
        <v>8</v>
      </c>
      <c r="C69" s="1">
        <v>153277</v>
      </c>
      <c r="D69" s="1" t="s">
        <v>9</v>
      </c>
      <c r="E69" s="1" t="s">
        <v>9</v>
      </c>
      <c r="F69" s="1" t="s">
        <v>97</v>
      </c>
      <c r="G69" s="1" t="s">
        <v>19</v>
      </c>
      <c r="H69" s="1" t="s">
        <v>13</v>
      </c>
      <c r="I69" s="1">
        <f>VLOOKUP(A69,[1]Charges!$A$1:$L$60,10,FALSE)</f>
        <v>77.5</v>
      </c>
      <c r="J69" s="1">
        <v>250</v>
      </c>
      <c r="K69" s="1" t="s">
        <v>122</v>
      </c>
    </row>
    <row r="70" spans="1:11" x14ac:dyDescent="0.25">
      <c r="A70" s="1">
        <v>524409</v>
      </c>
      <c r="B70" s="1" t="s">
        <v>8</v>
      </c>
      <c r="C70" s="1">
        <v>153277</v>
      </c>
      <c r="D70" s="1" t="s">
        <v>9</v>
      </c>
      <c r="E70" s="1" t="s">
        <v>9</v>
      </c>
      <c r="F70" s="1" t="s">
        <v>98</v>
      </c>
      <c r="G70" s="1" t="s">
        <v>19</v>
      </c>
      <c r="H70" s="1" t="s">
        <v>13</v>
      </c>
      <c r="I70" s="1">
        <f>VLOOKUP(A70,[1]Charges!$A$1:$L$60,10,FALSE)</f>
        <v>77.5</v>
      </c>
      <c r="J70" s="1">
        <v>250</v>
      </c>
      <c r="K70" s="1" t="s">
        <v>122</v>
      </c>
    </row>
    <row r="71" spans="1:11" x14ac:dyDescent="0.25">
      <c r="A71" s="1">
        <v>524411</v>
      </c>
      <c r="B71" s="1" t="s">
        <v>16</v>
      </c>
      <c r="C71" s="1">
        <v>121662</v>
      </c>
      <c r="D71" s="1" t="s">
        <v>9</v>
      </c>
      <c r="E71" s="1" t="s">
        <v>9</v>
      </c>
      <c r="F71" s="1" t="s">
        <v>99</v>
      </c>
      <c r="G71" s="1" t="s">
        <v>19</v>
      </c>
      <c r="H71" s="1" t="s">
        <v>20</v>
      </c>
      <c r="I71" s="1">
        <f>VLOOKUP(A71,[1]Charges!$A$1:$L$60,10,FALSE)</f>
        <v>77.5</v>
      </c>
      <c r="J71" s="1">
        <f>VLOOKUP(A71,[1]Charges!$A$1:$L$60,12,FALSE)</f>
        <v>350</v>
      </c>
      <c r="K71" s="1" t="s">
        <v>123</v>
      </c>
    </row>
    <row r="72" spans="1:11" x14ac:dyDescent="0.25">
      <c r="A72" s="1">
        <v>524414</v>
      </c>
      <c r="B72" s="1" t="s">
        <v>16</v>
      </c>
      <c r="C72" s="1">
        <v>121662</v>
      </c>
      <c r="D72" s="1" t="s">
        <v>9</v>
      </c>
      <c r="E72" s="1" t="s">
        <v>9</v>
      </c>
      <c r="F72" s="1" t="s">
        <v>100</v>
      </c>
      <c r="G72" s="1" t="s">
        <v>19</v>
      </c>
      <c r="H72" s="1" t="s">
        <v>20</v>
      </c>
      <c r="I72" s="1">
        <f>VLOOKUP(A72,[1]Charges!$A$1:$L$60,10,FALSE)</f>
        <v>80</v>
      </c>
      <c r="J72" s="1">
        <f>VLOOKUP(A72,[1]Charges!$A$1:$L$60,12,FALSE)</f>
        <v>350</v>
      </c>
      <c r="K72" s="1" t="s">
        <v>123</v>
      </c>
    </row>
    <row r="73" spans="1:11" x14ac:dyDescent="0.25">
      <c r="A73" s="1">
        <v>524421</v>
      </c>
      <c r="B73" s="1" t="s">
        <v>16</v>
      </c>
      <c r="C73" s="1">
        <v>121662</v>
      </c>
      <c r="D73" s="1" t="s">
        <v>9</v>
      </c>
      <c r="E73" s="1" t="s">
        <v>9</v>
      </c>
      <c r="F73" s="1" t="s">
        <v>101</v>
      </c>
      <c r="G73" s="1" t="s">
        <v>19</v>
      </c>
      <c r="H73" s="1" t="s">
        <v>20</v>
      </c>
      <c r="I73" s="1">
        <v>150</v>
      </c>
      <c r="J73" s="1">
        <v>250</v>
      </c>
      <c r="K73" s="1" t="s">
        <v>123</v>
      </c>
    </row>
    <row r="74" spans="1:11" x14ac:dyDescent="0.25">
      <c r="A74" s="1">
        <v>524441</v>
      </c>
      <c r="B74" s="1" t="s">
        <v>16</v>
      </c>
      <c r="C74" s="1">
        <v>121662</v>
      </c>
      <c r="D74" s="1" t="s">
        <v>9</v>
      </c>
      <c r="E74" s="1" t="s">
        <v>9</v>
      </c>
      <c r="F74" s="1" t="s">
        <v>102</v>
      </c>
      <c r="G74" s="1" t="s">
        <v>19</v>
      </c>
      <c r="H74" s="1" t="s">
        <v>20</v>
      </c>
      <c r="I74" s="1">
        <v>150</v>
      </c>
      <c r="J74" s="1">
        <v>250</v>
      </c>
      <c r="K74" s="1" t="s">
        <v>123</v>
      </c>
    </row>
    <row r="75" spans="1:11" x14ac:dyDescent="0.25">
      <c r="A75" s="1">
        <v>524624</v>
      </c>
      <c r="B75" s="1" t="s">
        <v>16</v>
      </c>
      <c r="C75" s="1">
        <v>121662</v>
      </c>
      <c r="D75" s="1" t="s">
        <v>9</v>
      </c>
      <c r="E75" s="1" t="s">
        <v>9</v>
      </c>
      <c r="F75" s="1" t="s">
        <v>103</v>
      </c>
      <c r="G75" s="1" t="s">
        <v>19</v>
      </c>
      <c r="H75" s="1" t="s">
        <v>20</v>
      </c>
      <c r="I75" s="1">
        <v>150</v>
      </c>
      <c r="J75" s="1">
        <v>250</v>
      </c>
      <c r="K75" s="1" t="s">
        <v>123</v>
      </c>
    </row>
    <row r="76" spans="1:11" x14ac:dyDescent="0.25">
      <c r="A76" s="1">
        <v>524308</v>
      </c>
      <c r="B76" s="1" t="s">
        <v>8</v>
      </c>
      <c r="C76" s="1">
        <v>153277</v>
      </c>
      <c r="D76" s="1" t="s">
        <v>9</v>
      </c>
      <c r="E76" s="1" t="s">
        <v>104</v>
      </c>
      <c r="F76" s="1" t="s">
        <v>105</v>
      </c>
      <c r="G76" s="1" t="s">
        <v>19</v>
      </c>
      <c r="H76" s="1" t="s">
        <v>13</v>
      </c>
      <c r="I76" s="1">
        <f>VLOOKUP(A76,[1]Charges!$A$1:$L$60,10,FALSE)</f>
        <v>53.5</v>
      </c>
      <c r="J76" s="1">
        <f>VLOOKUP(A76,[1]Charges!$A$1:$L$60,12,FALSE)</f>
        <v>250</v>
      </c>
      <c r="K76" s="1" t="s">
        <v>120</v>
      </c>
    </row>
    <row r="77" spans="1:11" x14ac:dyDescent="0.25">
      <c r="A77" s="1">
        <v>524310</v>
      </c>
      <c r="B77" s="1" t="s">
        <v>8</v>
      </c>
      <c r="C77" s="1">
        <v>153277</v>
      </c>
      <c r="D77" s="1" t="s">
        <v>9</v>
      </c>
      <c r="E77" s="1" t="s">
        <v>106</v>
      </c>
      <c r="F77" s="1" t="s">
        <v>32</v>
      </c>
      <c r="G77" s="1" t="s">
        <v>19</v>
      </c>
      <c r="H77" s="1" t="s">
        <v>13</v>
      </c>
      <c r="I77" s="1">
        <f>VLOOKUP(A77,[1]Charges!$A$1:$L$60,10,FALSE)</f>
        <v>140</v>
      </c>
      <c r="J77" s="1">
        <v>250</v>
      </c>
      <c r="K77" s="1" t="s">
        <v>120</v>
      </c>
    </row>
    <row r="78" spans="1:11" x14ac:dyDescent="0.25">
      <c r="A78" s="1">
        <v>524225</v>
      </c>
      <c r="B78" s="1" t="s">
        <v>8</v>
      </c>
      <c r="C78" s="1">
        <v>153277</v>
      </c>
      <c r="D78" s="1" t="s">
        <v>9</v>
      </c>
      <c r="E78" s="1" t="s">
        <v>107</v>
      </c>
      <c r="F78" s="1" t="s">
        <v>108</v>
      </c>
      <c r="G78" s="1" t="s">
        <v>19</v>
      </c>
      <c r="H78" s="1" t="s">
        <v>13</v>
      </c>
      <c r="I78" s="1">
        <f>VLOOKUP(A78,[1]Charges!$A$1:$L$60,10,FALSE)</f>
        <v>77.5</v>
      </c>
      <c r="J78" s="1">
        <v>250</v>
      </c>
      <c r="K78" s="1" t="s">
        <v>120</v>
      </c>
    </row>
    <row r="79" spans="1:11" x14ac:dyDescent="0.25">
      <c r="A79" s="1">
        <v>524301</v>
      </c>
      <c r="B79" s="1" t="s">
        <v>8</v>
      </c>
      <c r="C79" s="1">
        <v>153277</v>
      </c>
      <c r="D79" s="1" t="s">
        <v>9</v>
      </c>
      <c r="E79" s="1" t="s">
        <v>109</v>
      </c>
      <c r="F79" s="1" t="s">
        <v>110</v>
      </c>
      <c r="G79" s="1" t="s">
        <v>19</v>
      </c>
      <c r="H79" s="1" t="s">
        <v>13</v>
      </c>
      <c r="I79" s="1">
        <f>VLOOKUP(A79,[1]Charges!$A$1:$L$60,10,FALSE)</f>
        <v>85</v>
      </c>
      <c r="J79" s="1">
        <v>250</v>
      </c>
      <c r="K79" s="1" t="s">
        <v>120</v>
      </c>
    </row>
    <row r="80" spans="1:11" x14ac:dyDescent="0.25">
      <c r="A80" s="1">
        <v>524321</v>
      </c>
      <c r="B80" s="1" t="s">
        <v>8</v>
      </c>
      <c r="C80" s="1">
        <v>153277</v>
      </c>
      <c r="D80" s="1" t="s">
        <v>9</v>
      </c>
      <c r="E80" s="1" t="s">
        <v>111</v>
      </c>
      <c r="F80" s="1" t="s">
        <v>111</v>
      </c>
      <c r="G80" s="1" t="s">
        <v>19</v>
      </c>
      <c r="H80" s="1" t="s">
        <v>13</v>
      </c>
      <c r="I80" s="1">
        <f>VLOOKUP(A80,[1]Charges!$A$1:$L$60,10,FALSE)</f>
        <v>40</v>
      </c>
      <c r="J80" s="1">
        <f>VLOOKUP(A80,[1]Charges!$A$1:$L$60,12,FALSE)</f>
        <v>150</v>
      </c>
      <c r="K80" s="1" t="s">
        <v>122</v>
      </c>
    </row>
    <row r="81" spans="1:11" x14ac:dyDescent="0.25">
      <c r="A81" s="1">
        <v>524415</v>
      </c>
      <c r="B81" s="1" t="s">
        <v>16</v>
      </c>
      <c r="C81" s="1">
        <v>121662</v>
      </c>
      <c r="D81" s="1" t="s">
        <v>9</v>
      </c>
      <c r="E81" s="1" t="s">
        <v>112</v>
      </c>
      <c r="F81" s="1" t="s">
        <v>113</v>
      </c>
      <c r="G81" s="1" t="s">
        <v>19</v>
      </c>
      <c r="H81" s="1" t="s">
        <v>20</v>
      </c>
      <c r="I81" s="1">
        <f>VLOOKUP(A81,[1]Charges!$A$1:$L$60,10,FALSE)</f>
        <v>77.5</v>
      </c>
      <c r="J81" s="1">
        <f>VLOOKUP(A81,[1]Charges!$A$1:$L$60,12,FALSE)</f>
        <v>350</v>
      </c>
      <c r="K81" s="1" t="s">
        <v>123</v>
      </c>
    </row>
    <row r="82" spans="1:11" x14ac:dyDescent="0.25">
      <c r="A82" s="1">
        <v>524320</v>
      </c>
      <c r="B82" s="1" t="s">
        <v>16</v>
      </c>
      <c r="C82" s="1">
        <v>121662</v>
      </c>
      <c r="D82" s="1" t="s">
        <v>9</v>
      </c>
      <c r="E82" s="1" t="s">
        <v>114</v>
      </c>
      <c r="F82" s="1" t="s">
        <v>115</v>
      </c>
      <c r="G82" s="1" t="s">
        <v>19</v>
      </c>
      <c r="H82" s="1" t="s">
        <v>20</v>
      </c>
      <c r="I82" s="1">
        <f>VLOOKUP(A82,[1]Charges!$A$1:$L$60,10,FALSE)</f>
        <v>40</v>
      </c>
      <c r="J82" s="1">
        <f>VLOOKUP(A82,[1]Charges!$A$1:$L$60,12,FALSE)</f>
        <v>150</v>
      </c>
      <c r="K82" s="1" t="s">
        <v>123</v>
      </c>
    </row>
    <row r="83" spans="1:11" x14ac:dyDescent="0.25">
      <c r="A83" s="1">
        <v>524218</v>
      </c>
      <c r="B83" s="1" t="s">
        <v>14</v>
      </c>
      <c r="C83" s="1">
        <v>152401</v>
      </c>
      <c r="D83" s="1" t="s">
        <v>9</v>
      </c>
      <c r="E83" s="1" t="s">
        <v>116</v>
      </c>
      <c r="F83" s="1" t="s">
        <v>117</v>
      </c>
      <c r="G83" s="1" t="s">
        <v>19</v>
      </c>
      <c r="H83" s="1" t="s">
        <v>13</v>
      </c>
      <c r="I83" s="1">
        <f>VLOOKUP(A83,[1]Charges!$A$1:$L$60,10,FALSE)</f>
        <v>55</v>
      </c>
      <c r="J83" s="1">
        <f>VLOOKUP(A83,[1]Charges!$A$1:$L$60,12,FALSE)</f>
        <v>250</v>
      </c>
      <c r="K83" s="1" t="s">
        <v>123</v>
      </c>
    </row>
  </sheetData>
  <autoFilter ref="A1:K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Nellore 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</dc:creator>
  <cp:lastModifiedBy>lenovo thinkpad</cp:lastModifiedBy>
  <dcterms:created xsi:type="dcterms:W3CDTF">2022-01-17T04:50:28Z</dcterms:created>
  <dcterms:modified xsi:type="dcterms:W3CDTF">2022-02-24T11:31:12Z</dcterms:modified>
</cp:coreProperties>
</file>